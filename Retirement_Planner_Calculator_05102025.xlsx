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Projection" sheetId="2" r:id="rId5"/>
  </sheets>
  <definedNames/>
  <calcPr/>
  <extLst>
    <ext uri="GoogleSheetsCustomDataVersion2">
      <go:sheetsCustomData xmlns:go="http://customooxmlschemas.google.com/" r:id="rId6" roundtripDataChecksum="6i94sPhd2jUn2k0/tTC1JFF+3IkiJVLjL5e9BJppFKI="/>
    </ext>
  </extLst>
</workbook>
</file>

<file path=xl/sharedStrings.xml><?xml version="1.0" encoding="utf-8"?>
<sst xmlns="http://schemas.openxmlformats.org/spreadsheetml/2006/main" count="40" uniqueCount="40">
  <si>
    <t>Retirement Planner – Inputs</t>
  </si>
  <si>
    <t>Year</t>
  </si>
  <si>
    <t>Your Age</t>
  </si>
  <si>
    <t>Corpus Start (₹)</t>
  </si>
  <si>
    <t>Household Expense (₹)</t>
  </si>
  <si>
    <t>Son Age</t>
  </si>
  <si>
    <t>Current Age (You)</t>
  </si>
  <si>
    <t>Daughter Age</t>
  </si>
  <si>
    <t>Son School Fee (₹)</t>
  </si>
  <si>
    <t>Life Expectancy</t>
  </si>
  <si>
    <t>Retirement Age</t>
  </si>
  <si>
    <t>Daughter School Fee (₹)</t>
  </si>
  <si>
    <t>Current Corpus (₹)</t>
  </si>
  <si>
    <t>Total School Fees (₹)</t>
  </si>
  <si>
    <t>Son Graduation (₹)</t>
  </si>
  <si>
    <t>Annual Household Expense Today (₹)</t>
  </si>
  <si>
    <t>Daughter Graduation (₹)</t>
  </si>
  <si>
    <t>Total Graduation (₹)</t>
  </si>
  <si>
    <t>Son Marriage (₹)</t>
  </si>
  <si>
    <t>Daughter Marriage (₹)</t>
  </si>
  <si>
    <t>Total Marriage (₹)</t>
  </si>
  <si>
    <t>Total Withdrawals (₹)</t>
  </si>
  <si>
    <t>Investment Return (₹)</t>
  </si>
  <si>
    <t>Corpus End (₹)</t>
  </si>
  <si>
    <t>Household Expense Inflation (annual)</t>
  </si>
  <si>
    <t>Pre-Retirement Return (annual)</t>
  </si>
  <si>
    <t>Post-Retirement Return (annual)</t>
  </si>
  <si>
    <t>Son Age Now</t>
  </si>
  <si>
    <t>Daughter Age Now</t>
  </si>
  <si>
    <t>Son School Fee Today (₹)</t>
  </si>
  <si>
    <t>Daughter School Fee Today (₹)</t>
  </si>
  <si>
    <t>School Fee Hike (step every 2 yrs)</t>
  </si>
  <si>
    <t>Graduation Total Today (4 yrs) (₹)</t>
  </si>
  <si>
    <t>Graduation Inflation (annual)</t>
  </si>
  <si>
    <t>Marriage Cost Today (₹)</t>
  </si>
  <si>
    <t>Marriage Inflation (annual)</t>
  </si>
  <si>
    <t>Marriage Age (Son)</t>
  </si>
  <si>
    <t>Marriage Age (Daughter)</t>
  </si>
  <si>
    <t>School Fee Hike Frequency (yrs)</t>
  </si>
  <si>
    <t>Base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</si>
</sst>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10" xfId="0" applyFont="1" applyNumberFormat="1"/>
    <xf borderId="0" fillId="0" fontId="3" numFmtId="3" xfId="0" applyFont="1" applyNumberFormat="1"/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2.0"/>
    <col customWidth="1" min="2" max="2" width="20.0"/>
    <col customWidth="1" min="3" max="26" width="8.71"/>
  </cols>
  <sheetData>
    <row r="1" ht="14.25" customHeight="1">
      <c r="A1" s="2" t="s">
        <v>0</v>
      </c>
    </row>
    <row r="2" ht="14.25" customHeight="1"/>
    <row r="3" ht="14.25" customHeight="1">
      <c r="A3" s="3" t="s">
        <v>6</v>
      </c>
      <c r="B3" s="3">
        <v>43.0</v>
      </c>
    </row>
    <row r="4" ht="14.25" customHeight="1">
      <c r="A4" s="3" t="s">
        <v>9</v>
      </c>
      <c r="B4" s="3">
        <v>80.0</v>
      </c>
    </row>
    <row r="5" ht="14.25" customHeight="1">
      <c r="A5" s="3" t="s">
        <v>10</v>
      </c>
      <c r="B5" s="3">
        <v>43.0</v>
      </c>
    </row>
    <row r="6" ht="14.25" customHeight="1">
      <c r="A6" s="3" t="s">
        <v>12</v>
      </c>
      <c r="B6" s="3">
        <v>1.5E7</v>
      </c>
    </row>
    <row r="7" ht="14.25" customHeight="1">
      <c r="A7" s="3" t="s">
        <v>15</v>
      </c>
      <c r="B7" s="3">
        <v>600000.0</v>
      </c>
      <c r="D7" s="4">
        <f>B7/12</f>
        <v>50000</v>
      </c>
    </row>
    <row r="8" ht="14.25" customHeight="1">
      <c r="A8" s="3" t="s">
        <v>24</v>
      </c>
      <c r="B8" s="5">
        <v>0.07</v>
      </c>
    </row>
    <row r="9" ht="14.25" customHeight="1">
      <c r="A9" s="3" t="s">
        <v>25</v>
      </c>
      <c r="B9" s="5">
        <v>0.1</v>
      </c>
    </row>
    <row r="10" ht="14.25" customHeight="1">
      <c r="A10" s="3" t="s">
        <v>26</v>
      </c>
      <c r="B10" s="7">
        <v>0.1</v>
      </c>
    </row>
    <row r="11" ht="14.25" customHeight="1">
      <c r="A11" s="3" t="s">
        <v>27</v>
      </c>
      <c r="B11" s="3">
        <v>13.0</v>
      </c>
    </row>
    <row r="12" ht="14.25" customHeight="1">
      <c r="A12" s="3" t="s">
        <v>28</v>
      </c>
      <c r="B12" s="8">
        <v>4.0</v>
      </c>
    </row>
    <row r="13" ht="14.25" customHeight="1">
      <c r="A13" s="3" t="s">
        <v>29</v>
      </c>
      <c r="B13" s="8">
        <v>200000.0</v>
      </c>
    </row>
    <row r="14" ht="14.25" customHeight="1">
      <c r="A14" s="3" t="s">
        <v>30</v>
      </c>
      <c r="B14" s="8">
        <v>100000.0</v>
      </c>
    </row>
    <row r="15" ht="14.25" customHeight="1">
      <c r="A15" s="3" t="s">
        <v>31</v>
      </c>
      <c r="B15" s="5">
        <v>0.25</v>
      </c>
    </row>
    <row r="16" ht="14.25" customHeight="1">
      <c r="A16" s="3" t="s">
        <v>32</v>
      </c>
      <c r="B16" s="8">
        <v>1200000.0</v>
      </c>
    </row>
    <row r="17" ht="14.25" customHeight="1">
      <c r="A17" s="3" t="s">
        <v>33</v>
      </c>
      <c r="B17" s="5">
        <v>0.07</v>
      </c>
    </row>
    <row r="18" ht="14.25" customHeight="1">
      <c r="A18" s="3" t="s">
        <v>34</v>
      </c>
      <c r="B18" s="3">
        <v>500000.0</v>
      </c>
    </row>
    <row r="19" ht="14.25" customHeight="1">
      <c r="A19" s="3" t="s">
        <v>35</v>
      </c>
      <c r="B19" s="5">
        <v>0.07</v>
      </c>
    </row>
    <row r="20" ht="14.25" customHeight="1">
      <c r="A20" s="3" t="s">
        <v>36</v>
      </c>
      <c r="B20" s="3">
        <v>28.0</v>
      </c>
    </row>
    <row r="21" ht="14.25" customHeight="1">
      <c r="A21" s="3" t="s">
        <v>37</v>
      </c>
      <c r="B21" s="3">
        <v>25.0</v>
      </c>
    </row>
    <row r="22" ht="14.25" customHeight="1">
      <c r="A22" s="3" t="s">
        <v>38</v>
      </c>
      <c r="B22" s="3">
        <v>2.0</v>
      </c>
    </row>
    <row r="23" ht="14.25" customHeight="1">
      <c r="A23" s="3" t="s">
        <v>39</v>
      </c>
      <c r="B23" s="3">
        <v>2026.0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0.0"/>
    <col customWidth="1" min="4" max="4" width="21.71"/>
    <col customWidth="1" min="5" max="18" width="20.0"/>
    <col customWidth="1" min="19" max="26" width="8.71"/>
  </cols>
  <sheetData>
    <row r="1" ht="14.2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ht="14.25" customHeight="1">
      <c r="A2" s="6">
        <f>Inputs!B23 + ROW()-2</f>
        <v>2026</v>
      </c>
      <c r="B2" s="6">
        <f>Inputs!B3 + ROW()-2</f>
        <v>43</v>
      </c>
      <c r="C2" s="6">
        <f>IF(ROW()=2,Inputs!B6,R1)</f>
        <v>15000000</v>
      </c>
      <c r="D2" s="6">
        <f>IF(B2&lt;Inputs!B5,0, Inputs!B7*(1+Inputs!B8)^(B2-Inputs!B3))</f>
        <v>600000</v>
      </c>
      <c r="E2" s="6">
        <f>Inputs!B11 + (B2-Inputs!B3)</f>
        <v>13</v>
      </c>
      <c r="F2" s="6">
        <f>Inputs!B12 + (B2-Inputs!B3)</f>
        <v>4</v>
      </c>
      <c r="G2" s="6">
        <f>IF(E2&lt;18, Inputs!B13*(1+Inputs!B15)^(INT((B2-Inputs!B3)/Inputs!B22)), 0)</f>
        <v>200000</v>
      </c>
      <c r="H2" s="6">
        <f>IF(F2&lt;18, Inputs!B14*(1+Inputs!B15)^(INT((B2-Inputs!B3)/Inputs!B22)), 0)</f>
        <v>100000</v>
      </c>
      <c r="I2" s="6">
        <f t="shared" ref="I2:I40" si="1">G2+H2</f>
        <v>300000</v>
      </c>
      <c r="J2" s="6">
        <f>IF(AND(E2&gt;=18,E2&lt;=21), (Inputs!B16*(1+Inputs!B17)^(18-Inputs!B11))/4, 0)</f>
        <v>0</v>
      </c>
      <c r="K2" s="6">
        <f>IF(AND(F2&gt;=18,F2&lt;=21), (Inputs!B16*(1+Inputs!B17)^(18-Inputs!B12))/4, 0)</f>
        <v>0</v>
      </c>
      <c r="L2" s="6">
        <f t="shared" ref="L2:L40" si="2">J2+K2</f>
        <v>0</v>
      </c>
      <c r="M2" s="6">
        <f>IF(E2=Inputs!B20, Inputs!B18*(1+Inputs!B19)^(Inputs!B20-Inputs!B11), 0)</f>
        <v>0</v>
      </c>
      <c r="N2" s="6">
        <f>IF(F2=Inputs!B21, Inputs!B18*(1+Inputs!B19)^(Inputs!B21-Inputs!B12), 0)</f>
        <v>0</v>
      </c>
      <c r="O2" s="6">
        <f t="shared" ref="O2:O40" si="3">M2+N2</f>
        <v>0</v>
      </c>
      <c r="P2" s="6">
        <f t="shared" ref="P2:P40" si="4">D2+I2+L2+O2</f>
        <v>900000</v>
      </c>
      <c r="Q2" s="6">
        <f>(C2-P2)*IF(B2&lt;Inputs!B5,Inputs!B9,Inputs!B10)</f>
        <v>1410000</v>
      </c>
      <c r="R2" s="6">
        <f t="shared" ref="R2:R40" si="5">(C2-P2)+Q2</f>
        <v>15510000</v>
      </c>
    </row>
    <row r="3" ht="14.25" customHeight="1">
      <c r="A3" s="6">
        <f>Inputs!B23 + ROW()-2</f>
        <v>2027</v>
      </c>
      <c r="B3" s="6">
        <f>Inputs!B3 + ROW()-2</f>
        <v>44</v>
      </c>
      <c r="C3" s="6">
        <f>IF(ROW()=2,Inputs!B6,R2)</f>
        <v>15510000</v>
      </c>
      <c r="D3" s="6">
        <f>IF(B3&lt;Inputs!B5,0, Inputs!B7*(1+Inputs!B8)^(B3-Inputs!B3))</f>
        <v>642000</v>
      </c>
      <c r="E3" s="6">
        <f>Inputs!B11 + (B3-Inputs!B3)</f>
        <v>14</v>
      </c>
      <c r="F3" s="6">
        <f>Inputs!B12 + (B3-Inputs!B3)</f>
        <v>5</v>
      </c>
      <c r="G3" s="6">
        <f>IF(E3&lt;18, Inputs!B13*(1+Inputs!B15)^(INT((B3-Inputs!B3)/Inputs!B22)), 0)</f>
        <v>200000</v>
      </c>
      <c r="H3" s="6">
        <f>IF(F3&lt;18, Inputs!B14*(1+Inputs!B15)^(INT((B3-Inputs!B3)/Inputs!B22)), 0)</f>
        <v>100000</v>
      </c>
      <c r="I3" s="6">
        <f t="shared" si="1"/>
        <v>300000</v>
      </c>
      <c r="J3" s="6">
        <f>IF(AND(E3&gt;=18,E3&lt;=21), (Inputs!B16*(1+Inputs!B17)^(18-Inputs!B11))/4, 0)</f>
        <v>0</v>
      </c>
      <c r="K3" s="6">
        <f>IF(AND(F3&gt;=18,F3&lt;=21), (Inputs!B16*(1+Inputs!B17)^(18-Inputs!B12))/4, 0)</f>
        <v>0</v>
      </c>
      <c r="L3" s="6">
        <f t="shared" si="2"/>
        <v>0</v>
      </c>
      <c r="M3" s="6">
        <f>IF(E3=Inputs!B20, Inputs!B18*(1+Inputs!B19)^(Inputs!B20-Inputs!B11), 0)</f>
        <v>0</v>
      </c>
      <c r="N3" s="6">
        <f>IF(F3=Inputs!B21, Inputs!B18*(1+Inputs!B19)^(Inputs!B21-Inputs!B12), 0)</f>
        <v>0</v>
      </c>
      <c r="O3" s="6">
        <f t="shared" si="3"/>
        <v>0</v>
      </c>
      <c r="P3" s="6">
        <f t="shared" si="4"/>
        <v>942000</v>
      </c>
      <c r="Q3" s="6">
        <f>(C3-P3)*IF(B3&lt;Inputs!B5,Inputs!B9,Inputs!B10)</f>
        <v>1456800</v>
      </c>
      <c r="R3" s="6">
        <f t="shared" si="5"/>
        <v>16024800</v>
      </c>
    </row>
    <row r="4" ht="14.25" customHeight="1">
      <c r="A4" s="6">
        <f>Inputs!B23 + ROW()-2</f>
        <v>2028</v>
      </c>
      <c r="B4" s="6">
        <f>Inputs!B3 + ROW()-2</f>
        <v>45</v>
      </c>
      <c r="C4" s="6">
        <f>IF(ROW()=2,Inputs!B6,R3)</f>
        <v>16024800</v>
      </c>
      <c r="D4" s="6">
        <f>IF(B4&lt;Inputs!B5,0, Inputs!B7*(1+Inputs!B8)^(B4-Inputs!B3))</f>
        <v>686940</v>
      </c>
      <c r="E4" s="6">
        <f>Inputs!B11 + (B4-Inputs!B3)</f>
        <v>15</v>
      </c>
      <c r="F4" s="6">
        <f>Inputs!B12 + (B4-Inputs!B3)</f>
        <v>6</v>
      </c>
      <c r="G4" s="6">
        <f>IF(E4&lt;18, Inputs!B13*(1+Inputs!B15)^(INT((B4-Inputs!B3)/Inputs!B22)), 0)</f>
        <v>250000</v>
      </c>
      <c r="H4" s="6">
        <f>IF(F4&lt;18, Inputs!B14*(1+Inputs!B15)^(INT((B4-Inputs!B3)/Inputs!B22)), 0)</f>
        <v>125000</v>
      </c>
      <c r="I4" s="6">
        <f t="shared" si="1"/>
        <v>375000</v>
      </c>
      <c r="J4" s="6">
        <f>IF(AND(E4&gt;=18,E4&lt;=21), (Inputs!B16*(1+Inputs!B17)^(18-Inputs!B11))/4, 0)</f>
        <v>0</v>
      </c>
      <c r="K4" s="6">
        <f>IF(AND(F4&gt;=18,F4&lt;=21), (Inputs!B16*(1+Inputs!B17)^(18-Inputs!B12))/4, 0)</f>
        <v>0</v>
      </c>
      <c r="L4" s="6">
        <f t="shared" si="2"/>
        <v>0</v>
      </c>
      <c r="M4" s="6">
        <f>IF(E4=Inputs!B20, Inputs!B18*(1+Inputs!B19)^(Inputs!B20-Inputs!B11), 0)</f>
        <v>0</v>
      </c>
      <c r="N4" s="6">
        <f>IF(F4=Inputs!B21, Inputs!B18*(1+Inputs!B19)^(Inputs!B21-Inputs!B12), 0)</f>
        <v>0</v>
      </c>
      <c r="O4" s="6">
        <f t="shared" si="3"/>
        <v>0</v>
      </c>
      <c r="P4" s="6">
        <f t="shared" si="4"/>
        <v>1061940</v>
      </c>
      <c r="Q4" s="6">
        <f>(C4-P4)*IF(B4&lt;Inputs!B5,Inputs!B9,Inputs!B10)</f>
        <v>1496286</v>
      </c>
      <c r="R4" s="6">
        <f t="shared" si="5"/>
        <v>16459146</v>
      </c>
    </row>
    <row r="5" ht="14.25" customHeight="1">
      <c r="A5" s="6">
        <f>Inputs!B23 + ROW()-2</f>
        <v>2029</v>
      </c>
      <c r="B5" s="6">
        <f>Inputs!B3 + ROW()-2</f>
        <v>46</v>
      </c>
      <c r="C5" s="6">
        <f>IF(ROW()=2,Inputs!B6,R4)</f>
        <v>16459146</v>
      </c>
      <c r="D5" s="6">
        <f>IF(B5&lt;Inputs!B5,0, Inputs!B7*(1+Inputs!B8)^(B5-Inputs!B3))</f>
        <v>735025.8</v>
      </c>
      <c r="E5" s="6">
        <f>Inputs!B11 + (B5-Inputs!B3)</f>
        <v>16</v>
      </c>
      <c r="F5" s="6">
        <f>Inputs!B12 + (B5-Inputs!B3)</f>
        <v>7</v>
      </c>
      <c r="G5" s="6">
        <f>IF(E5&lt;18, Inputs!B13*(1+Inputs!B15)^(INT((B5-Inputs!B3)/Inputs!B22)), 0)</f>
        <v>250000</v>
      </c>
      <c r="H5" s="6">
        <f>IF(F5&lt;18, Inputs!B14*(1+Inputs!B15)^(INT((B5-Inputs!B3)/Inputs!B22)), 0)</f>
        <v>125000</v>
      </c>
      <c r="I5" s="6">
        <f t="shared" si="1"/>
        <v>375000</v>
      </c>
      <c r="J5" s="6">
        <f>IF(AND(E5&gt;=18,E5&lt;=21), (Inputs!B16*(1+Inputs!B17)^(18-Inputs!B11))/4, 0)</f>
        <v>0</v>
      </c>
      <c r="K5" s="6">
        <f>IF(AND(F5&gt;=18,F5&lt;=21), (Inputs!B16*(1+Inputs!B17)^(18-Inputs!B12))/4, 0)</f>
        <v>0</v>
      </c>
      <c r="L5" s="6">
        <f t="shared" si="2"/>
        <v>0</v>
      </c>
      <c r="M5" s="6">
        <f>IF(E5=Inputs!B20, Inputs!B18*(1+Inputs!B19)^(Inputs!B20-Inputs!B11), 0)</f>
        <v>0</v>
      </c>
      <c r="N5" s="6">
        <f>IF(F5=Inputs!B21, Inputs!B18*(1+Inputs!B19)^(Inputs!B21-Inputs!B12), 0)</f>
        <v>0</v>
      </c>
      <c r="O5" s="6">
        <f t="shared" si="3"/>
        <v>0</v>
      </c>
      <c r="P5" s="6">
        <f t="shared" si="4"/>
        <v>1110025.8</v>
      </c>
      <c r="Q5" s="6">
        <f>(C5-P5)*IF(B5&lt;Inputs!B5,Inputs!B9,Inputs!B10)</f>
        <v>1534912.02</v>
      </c>
      <c r="R5" s="6">
        <f t="shared" si="5"/>
        <v>16884032.22</v>
      </c>
    </row>
    <row r="6" ht="14.25" customHeight="1">
      <c r="A6" s="6">
        <f>Inputs!B23 + ROW()-2</f>
        <v>2030</v>
      </c>
      <c r="B6" s="6">
        <f>Inputs!B3 + ROW()-2</f>
        <v>47</v>
      </c>
      <c r="C6" s="6">
        <f>IF(ROW()=2,Inputs!B6,R5)</f>
        <v>16884032.22</v>
      </c>
      <c r="D6" s="6">
        <f>IF(B6&lt;Inputs!B5,0, Inputs!B7*(1+Inputs!B8)^(B6-Inputs!B3))</f>
        <v>786477.606</v>
      </c>
      <c r="E6" s="6">
        <f>Inputs!B11 + (B6-Inputs!B3)</f>
        <v>17</v>
      </c>
      <c r="F6" s="6">
        <f>Inputs!B12 + (B6-Inputs!B3)</f>
        <v>8</v>
      </c>
      <c r="G6" s="6">
        <f>IF(E6&lt;18, Inputs!B13*(1+Inputs!B15)^(INT((B6-Inputs!B3)/Inputs!B22)), 0)</f>
        <v>312500</v>
      </c>
      <c r="H6" s="6">
        <f>IF(F6&lt;18, Inputs!B14*(1+Inputs!B15)^(INT((B6-Inputs!B3)/Inputs!B22)), 0)</f>
        <v>156250</v>
      </c>
      <c r="I6" s="6">
        <f t="shared" si="1"/>
        <v>468750</v>
      </c>
      <c r="J6" s="6">
        <f>IF(AND(E6&gt;=18,E6&lt;=21), (Inputs!B16*(1+Inputs!B17)^(18-Inputs!B11))/4, 0)</f>
        <v>0</v>
      </c>
      <c r="K6" s="6">
        <f>IF(AND(F6&gt;=18,F6&lt;=21), (Inputs!B16*(1+Inputs!B17)^(18-Inputs!B12))/4, 0)</f>
        <v>0</v>
      </c>
      <c r="L6" s="6">
        <f t="shared" si="2"/>
        <v>0</v>
      </c>
      <c r="M6" s="6">
        <f>IF(E6=Inputs!B20, Inputs!B18*(1+Inputs!B19)^(Inputs!B20-Inputs!B11), 0)</f>
        <v>0</v>
      </c>
      <c r="N6" s="6">
        <f>IF(F6=Inputs!B21, Inputs!B18*(1+Inputs!B19)^(Inputs!B21-Inputs!B12), 0)</f>
        <v>0</v>
      </c>
      <c r="O6" s="6">
        <f t="shared" si="3"/>
        <v>0</v>
      </c>
      <c r="P6" s="6">
        <f t="shared" si="4"/>
        <v>1255227.606</v>
      </c>
      <c r="Q6" s="6">
        <f>(C6-P6)*IF(B6&lt;Inputs!B5,Inputs!B9,Inputs!B10)</f>
        <v>1562880.461</v>
      </c>
      <c r="R6" s="6">
        <f t="shared" si="5"/>
        <v>17191685.08</v>
      </c>
    </row>
    <row r="7" ht="14.25" customHeight="1">
      <c r="A7" s="6">
        <f>Inputs!B23 + ROW()-2</f>
        <v>2031</v>
      </c>
      <c r="B7" s="6">
        <f>Inputs!B3 + ROW()-2</f>
        <v>48</v>
      </c>
      <c r="C7" s="6">
        <f>IF(ROW()=2,Inputs!B6,R6)</f>
        <v>17191685.08</v>
      </c>
      <c r="D7" s="6">
        <f>IF(B7&lt;Inputs!B5,0, Inputs!B7*(1+Inputs!B8)^(B7-Inputs!B3))</f>
        <v>841531.0384</v>
      </c>
      <c r="E7" s="6">
        <f>Inputs!B11 + (B7-Inputs!B3)</f>
        <v>18</v>
      </c>
      <c r="F7" s="6">
        <f>Inputs!B12 + (B7-Inputs!B3)</f>
        <v>9</v>
      </c>
      <c r="G7" s="6">
        <f>IF(E7&lt;18, Inputs!B13*(1+Inputs!B15)^(INT((B7-Inputs!B3)/Inputs!B22)), 0)</f>
        <v>0</v>
      </c>
      <c r="H7" s="6">
        <f>IF(F7&lt;18, Inputs!B14*(1+Inputs!B15)^(INT((B7-Inputs!B3)/Inputs!B22)), 0)</f>
        <v>156250</v>
      </c>
      <c r="I7" s="6">
        <f t="shared" si="1"/>
        <v>156250</v>
      </c>
      <c r="J7" s="6">
        <f>IF(AND(E7&gt;=18,E7&lt;=21), (Inputs!B16*(1+Inputs!B17)^(18-Inputs!B11))/4, 0)</f>
        <v>420765.5192</v>
      </c>
      <c r="K7" s="6">
        <f>IF(AND(F7&gt;=18,F7&lt;=21), (Inputs!B16*(1+Inputs!B17)^(18-Inputs!B12))/4, 0)</f>
        <v>0</v>
      </c>
      <c r="L7" s="6">
        <f t="shared" si="2"/>
        <v>420765.5192</v>
      </c>
      <c r="M7" s="6">
        <f>IF(E7=Inputs!B20, Inputs!B18*(1+Inputs!B19)^(Inputs!B20-Inputs!B11), 0)</f>
        <v>0</v>
      </c>
      <c r="N7" s="6">
        <f>IF(F7=Inputs!B21, Inputs!B18*(1+Inputs!B19)^(Inputs!B21-Inputs!B12), 0)</f>
        <v>0</v>
      </c>
      <c r="O7" s="6">
        <f t="shared" si="3"/>
        <v>0</v>
      </c>
      <c r="P7" s="6">
        <f t="shared" si="4"/>
        <v>1418546.558</v>
      </c>
      <c r="Q7" s="6">
        <f>(C7-P7)*IF(B7&lt;Inputs!B5,Inputs!B9,Inputs!B10)</f>
        <v>1577313.852</v>
      </c>
      <c r="R7" s="6">
        <f t="shared" si="5"/>
        <v>17350452.37</v>
      </c>
    </row>
    <row r="8" ht="14.25" customHeight="1">
      <c r="A8" s="6">
        <f>Inputs!B23 + ROW()-2</f>
        <v>2032</v>
      </c>
      <c r="B8" s="6">
        <f>Inputs!B3 + ROW()-2</f>
        <v>49</v>
      </c>
      <c r="C8" s="6">
        <f>IF(ROW()=2,Inputs!B6,R7)</f>
        <v>17350452.37</v>
      </c>
      <c r="D8" s="6">
        <f>IF(B8&lt;Inputs!B5,0, Inputs!B7*(1+Inputs!B8)^(B8-Inputs!B3))</f>
        <v>900438.2111</v>
      </c>
      <c r="E8" s="6">
        <f>Inputs!B11 + (B8-Inputs!B3)</f>
        <v>19</v>
      </c>
      <c r="F8" s="6">
        <f>Inputs!B12 + (B8-Inputs!B3)</f>
        <v>10</v>
      </c>
      <c r="G8" s="6">
        <f>IF(E8&lt;18, Inputs!B13*(1+Inputs!B15)^(INT((B8-Inputs!B3)/Inputs!B22)), 0)</f>
        <v>0</v>
      </c>
      <c r="H8" s="6">
        <f>IF(F8&lt;18, Inputs!B14*(1+Inputs!B15)^(INT((B8-Inputs!B3)/Inputs!B22)), 0)</f>
        <v>195312.5</v>
      </c>
      <c r="I8" s="6">
        <f t="shared" si="1"/>
        <v>195312.5</v>
      </c>
      <c r="J8" s="6">
        <f>IF(AND(E8&gt;=18,E8&lt;=21), (Inputs!B16*(1+Inputs!B17)^(18-Inputs!B11))/4, 0)</f>
        <v>420765.5192</v>
      </c>
      <c r="K8" s="6">
        <f>IF(AND(F8&gt;=18,F8&lt;=21), (Inputs!B16*(1+Inputs!B17)^(18-Inputs!B12))/4, 0)</f>
        <v>0</v>
      </c>
      <c r="L8" s="6">
        <f t="shared" si="2"/>
        <v>420765.5192</v>
      </c>
      <c r="M8" s="6">
        <f>IF(E8=Inputs!B20, Inputs!B18*(1+Inputs!B19)^(Inputs!B20-Inputs!B11), 0)</f>
        <v>0</v>
      </c>
      <c r="N8" s="6">
        <f>IF(F8=Inputs!B21, Inputs!B18*(1+Inputs!B19)^(Inputs!B21-Inputs!B12), 0)</f>
        <v>0</v>
      </c>
      <c r="O8" s="6">
        <f t="shared" si="3"/>
        <v>0</v>
      </c>
      <c r="P8" s="6">
        <f t="shared" si="4"/>
        <v>1516516.23</v>
      </c>
      <c r="Q8" s="6">
        <f>(C8-P8)*IF(B8&lt;Inputs!B5,Inputs!B9,Inputs!B10)</f>
        <v>1583393.614</v>
      </c>
      <c r="R8" s="6">
        <f t="shared" si="5"/>
        <v>17417329.75</v>
      </c>
    </row>
    <row r="9" ht="14.25" customHeight="1">
      <c r="A9" s="6">
        <f>Inputs!B23 + ROW()-2</f>
        <v>2033</v>
      </c>
      <c r="B9" s="6">
        <f>Inputs!B3 + ROW()-2</f>
        <v>50</v>
      </c>
      <c r="C9" s="6">
        <f>IF(ROW()=2,Inputs!B6,R8)</f>
        <v>17417329.75</v>
      </c>
      <c r="D9" s="6">
        <f>IF(B9&lt;Inputs!B5,0, Inputs!B7*(1+Inputs!B8)^(B9-Inputs!B3))</f>
        <v>963468.8859</v>
      </c>
      <c r="E9" s="6">
        <f>Inputs!B11 + (B9-Inputs!B3)</f>
        <v>20</v>
      </c>
      <c r="F9" s="6">
        <f>Inputs!B12 + (B9-Inputs!B3)</f>
        <v>11</v>
      </c>
      <c r="G9" s="6">
        <f>IF(E9&lt;18, Inputs!B13*(1+Inputs!B15)^(INT((B9-Inputs!B3)/Inputs!B22)), 0)</f>
        <v>0</v>
      </c>
      <c r="H9" s="6">
        <f>IF(F9&lt;18, Inputs!B14*(1+Inputs!B15)^(INT((B9-Inputs!B3)/Inputs!B22)), 0)</f>
        <v>195312.5</v>
      </c>
      <c r="I9" s="6">
        <f t="shared" si="1"/>
        <v>195312.5</v>
      </c>
      <c r="J9" s="6">
        <f>IF(AND(E9&gt;=18,E9&lt;=21), (Inputs!B16*(1+Inputs!B17)^(18-Inputs!B11))/4, 0)</f>
        <v>420765.5192</v>
      </c>
      <c r="K9" s="6">
        <f>IF(AND(F9&gt;=18,F9&lt;=21), (Inputs!B16*(1+Inputs!B17)^(18-Inputs!B12))/4, 0)</f>
        <v>0</v>
      </c>
      <c r="L9" s="6">
        <f t="shared" si="2"/>
        <v>420765.5192</v>
      </c>
      <c r="M9" s="6">
        <f>IF(E9=Inputs!B20, Inputs!B18*(1+Inputs!B19)^(Inputs!B20-Inputs!B11), 0)</f>
        <v>0</v>
      </c>
      <c r="N9" s="6">
        <f>IF(F9=Inputs!B21, Inputs!B18*(1+Inputs!B19)^(Inputs!B21-Inputs!B12), 0)</f>
        <v>0</v>
      </c>
      <c r="O9" s="6">
        <f t="shared" si="3"/>
        <v>0</v>
      </c>
      <c r="P9" s="6">
        <f t="shared" si="4"/>
        <v>1579546.905</v>
      </c>
      <c r="Q9" s="6">
        <f>(C9-P9)*IF(B9&lt;Inputs!B5,Inputs!B9,Inputs!B10)</f>
        <v>1583778.285</v>
      </c>
      <c r="R9" s="6">
        <f t="shared" si="5"/>
        <v>17421561.13</v>
      </c>
    </row>
    <row r="10" ht="14.25" customHeight="1">
      <c r="A10" s="6">
        <f>Inputs!B23 + ROW()-2</f>
        <v>2034</v>
      </c>
      <c r="B10" s="6">
        <f>Inputs!B3 + ROW()-2</f>
        <v>51</v>
      </c>
      <c r="C10" s="6">
        <f>IF(ROW()=2,Inputs!B6,R9)</f>
        <v>17421561.13</v>
      </c>
      <c r="D10" s="6">
        <f>IF(B10&lt;Inputs!B5,0, Inputs!B7*(1+Inputs!B8)^(B10-Inputs!B3))</f>
        <v>1030911.708</v>
      </c>
      <c r="E10" s="6">
        <f>Inputs!B11 + (B10-Inputs!B3)</f>
        <v>21</v>
      </c>
      <c r="F10" s="6">
        <f>Inputs!B12 + (B10-Inputs!B3)</f>
        <v>12</v>
      </c>
      <c r="G10" s="6">
        <f>IF(E10&lt;18, Inputs!B13*(1+Inputs!B15)^(INT((B10-Inputs!B3)/Inputs!B22)), 0)</f>
        <v>0</v>
      </c>
      <c r="H10" s="6">
        <f>IF(F10&lt;18, Inputs!B14*(1+Inputs!B15)^(INT((B10-Inputs!B3)/Inputs!B22)), 0)</f>
        <v>244140.625</v>
      </c>
      <c r="I10" s="6">
        <f t="shared" si="1"/>
        <v>244140.625</v>
      </c>
      <c r="J10" s="6">
        <f>IF(AND(E10&gt;=18,E10&lt;=21), (Inputs!B16*(1+Inputs!B17)^(18-Inputs!B11))/4, 0)</f>
        <v>420765.5192</v>
      </c>
      <c r="K10" s="6">
        <f>IF(AND(F10&gt;=18,F10&lt;=21), (Inputs!B16*(1+Inputs!B17)^(18-Inputs!B12))/4, 0)</f>
        <v>0</v>
      </c>
      <c r="L10" s="6">
        <f t="shared" si="2"/>
        <v>420765.5192</v>
      </c>
      <c r="M10" s="6">
        <f>IF(E10=Inputs!B20, Inputs!B18*(1+Inputs!B19)^(Inputs!B20-Inputs!B11), 0)</f>
        <v>0</v>
      </c>
      <c r="N10" s="6">
        <f>IF(F10=Inputs!B21, Inputs!B18*(1+Inputs!B19)^(Inputs!B21-Inputs!B12), 0)</f>
        <v>0</v>
      </c>
      <c r="O10" s="6">
        <f t="shared" si="3"/>
        <v>0</v>
      </c>
      <c r="P10" s="6">
        <f t="shared" si="4"/>
        <v>1695817.852</v>
      </c>
      <c r="Q10" s="6">
        <f>(C10-P10)*IF(B10&lt;Inputs!B5,Inputs!B9,Inputs!B10)</f>
        <v>1572574.328</v>
      </c>
      <c r="R10" s="6">
        <f t="shared" si="5"/>
        <v>17298317.61</v>
      </c>
    </row>
    <row r="11" ht="14.25" customHeight="1">
      <c r="A11" s="6">
        <f>Inputs!B23 + ROW()-2</f>
        <v>2035</v>
      </c>
      <c r="B11" s="6">
        <f>Inputs!B3 + ROW()-2</f>
        <v>52</v>
      </c>
      <c r="C11" s="6">
        <f>IF(ROW()=2,Inputs!B6,R10)</f>
        <v>17298317.61</v>
      </c>
      <c r="D11" s="6">
        <f>IF(B11&lt;Inputs!B5,0, Inputs!B7*(1+Inputs!B8)^(B11-Inputs!B3))</f>
        <v>1103075.527</v>
      </c>
      <c r="E11" s="6">
        <f>Inputs!B11 + (B11-Inputs!B3)</f>
        <v>22</v>
      </c>
      <c r="F11" s="6">
        <f>Inputs!B12 + (B11-Inputs!B3)</f>
        <v>13</v>
      </c>
      <c r="G11" s="6">
        <f>IF(E11&lt;18, Inputs!B13*(1+Inputs!B15)^(INT((B11-Inputs!B3)/Inputs!B22)), 0)</f>
        <v>0</v>
      </c>
      <c r="H11" s="6">
        <f>IF(F11&lt;18, Inputs!B14*(1+Inputs!B15)^(INT((B11-Inputs!B3)/Inputs!B22)), 0)</f>
        <v>244140.625</v>
      </c>
      <c r="I11" s="6">
        <f t="shared" si="1"/>
        <v>244140.625</v>
      </c>
      <c r="J11" s="6">
        <f>IF(AND(E11&gt;=18,E11&lt;=21), (Inputs!B16*(1+Inputs!B17)^(18-Inputs!B11))/4, 0)</f>
        <v>0</v>
      </c>
      <c r="K11" s="6">
        <f>IF(AND(F11&gt;=18,F11&lt;=21), (Inputs!B16*(1+Inputs!B17)^(18-Inputs!B12))/4, 0)</f>
        <v>0</v>
      </c>
      <c r="L11" s="6">
        <f t="shared" si="2"/>
        <v>0</v>
      </c>
      <c r="M11" s="6">
        <f>IF(E11=Inputs!B20, Inputs!B18*(1+Inputs!B19)^(Inputs!B20-Inputs!B11), 0)</f>
        <v>0</v>
      </c>
      <c r="N11" s="6">
        <f>IF(F11=Inputs!B21, Inputs!B18*(1+Inputs!B19)^(Inputs!B21-Inputs!B12), 0)</f>
        <v>0</v>
      </c>
      <c r="O11" s="6">
        <f t="shared" si="3"/>
        <v>0</v>
      </c>
      <c r="P11" s="6">
        <f t="shared" si="4"/>
        <v>1347216.152</v>
      </c>
      <c r="Q11" s="6">
        <f>(C11-P11)*IF(B11&lt;Inputs!B5,Inputs!B9,Inputs!B10)</f>
        <v>1595110.146</v>
      </c>
      <c r="R11" s="6">
        <f t="shared" si="5"/>
        <v>17546211.6</v>
      </c>
    </row>
    <row r="12" ht="14.25" customHeight="1">
      <c r="A12" s="6">
        <f>Inputs!B23 + ROW()-2</f>
        <v>2036</v>
      </c>
      <c r="B12" s="6">
        <f>Inputs!B3 + ROW()-2</f>
        <v>53</v>
      </c>
      <c r="C12" s="6">
        <f>IF(ROW()=2,Inputs!B6,R11)</f>
        <v>17546211.6</v>
      </c>
      <c r="D12" s="6">
        <f>IF(B12&lt;Inputs!B5,0, Inputs!B7*(1+Inputs!B8)^(B12-Inputs!B3))</f>
        <v>1180290.814</v>
      </c>
      <c r="E12" s="6">
        <f>Inputs!B11 + (B12-Inputs!B3)</f>
        <v>23</v>
      </c>
      <c r="F12" s="6">
        <f>Inputs!B12 + (B12-Inputs!B3)</f>
        <v>14</v>
      </c>
      <c r="G12" s="6">
        <f>IF(E12&lt;18, Inputs!B13*(1+Inputs!B15)^(INT((B12-Inputs!B3)/Inputs!B22)), 0)</f>
        <v>0</v>
      </c>
      <c r="H12" s="6">
        <f>IF(F12&lt;18, Inputs!B14*(1+Inputs!B15)^(INT((B12-Inputs!B3)/Inputs!B22)), 0)</f>
        <v>305175.7813</v>
      </c>
      <c r="I12" s="6">
        <f t="shared" si="1"/>
        <v>305175.7813</v>
      </c>
      <c r="J12" s="6">
        <f>IF(AND(E12&gt;=18,E12&lt;=21), (Inputs!B16*(1+Inputs!B17)^(18-Inputs!B11))/4, 0)</f>
        <v>0</v>
      </c>
      <c r="K12" s="6">
        <f>IF(AND(F12&gt;=18,F12&lt;=21), (Inputs!B16*(1+Inputs!B17)^(18-Inputs!B12))/4, 0)</f>
        <v>0</v>
      </c>
      <c r="L12" s="6">
        <f t="shared" si="2"/>
        <v>0</v>
      </c>
      <c r="M12" s="6">
        <f>IF(E12=Inputs!B20, Inputs!B18*(1+Inputs!B19)^(Inputs!B20-Inputs!B11), 0)</f>
        <v>0</v>
      </c>
      <c r="N12" s="6">
        <f>IF(F12=Inputs!B21, Inputs!B18*(1+Inputs!B19)^(Inputs!B21-Inputs!B12), 0)</f>
        <v>0</v>
      </c>
      <c r="O12" s="6">
        <f t="shared" si="3"/>
        <v>0</v>
      </c>
      <c r="P12" s="6">
        <f t="shared" si="4"/>
        <v>1485466.596</v>
      </c>
      <c r="Q12" s="6">
        <f>(C12-P12)*IF(B12&lt;Inputs!B5,Inputs!B9,Inputs!B10)</f>
        <v>1606074.501</v>
      </c>
      <c r="R12" s="6">
        <f t="shared" si="5"/>
        <v>17666819.51</v>
      </c>
    </row>
    <row r="13" ht="14.25" customHeight="1">
      <c r="A13" s="6">
        <f>Inputs!B23 + ROW()-2</f>
        <v>2037</v>
      </c>
      <c r="B13" s="6">
        <f>Inputs!B3 + ROW()-2</f>
        <v>54</v>
      </c>
      <c r="C13" s="6">
        <f>IF(ROW()=2,Inputs!B6,R12)</f>
        <v>17666819.51</v>
      </c>
      <c r="D13" s="6">
        <f>IF(B13&lt;Inputs!B5,0, Inputs!B7*(1+Inputs!B8)^(B13-Inputs!B3))</f>
        <v>1262911.171</v>
      </c>
      <c r="E13" s="6">
        <f>Inputs!B11 + (B13-Inputs!B3)</f>
        <v>24</v>
      </c>
      <c r="F13" s="6">
        <f>Inputs!B12 + (B13-Inputs!B3)</f>
        <v>15</v>
      </c>
      <c r="G13" s="6">
        <f>IF(E13&lt;18, Inputs!B13*(1+Inputs!B15)^(INT((B13-Inputs!B3)/Inputs!B22)), 0)</f>
        <v>0</v>
      </c>
      <c r="H13" s="6">
        <f>IF(F13&lt;18, Inputs!B14*(1+Inputs!B15)^(INT((B13-Inputs!B3)/Inputs!B22)), 0)</f>
        <v>305175.7813</v>
      </c>
      <c r="I13" s="6">
        <f t="shared" si="1"/>
        <v>305175.7813</v>
      </c>
      <c r="J13" s="6">
        <f>IF(AND(E13&gt;=18,E13&lt;=21), (Inputs!B16*(1+Inputs!B17)^(18-Inputs!B11))/4, 0)</f>
        <v>0</v>
      </c>
      <c r="K13" s="6">
        <f>IF(AND(F13&gt;=18,F13&lt;=21), (Inputs!B16*(1+Inputs!B17)^(18-Inputs!B12))/4, 0)</f>
        <v>0</v>
      </c>
      <c r="L13" s="6">
        <f t="shared" si="2"/>
        <v>0</v>
      </c>
      <c r="M13" s="6">
        <f>IF(E13=Inputs!B20, Inputs!B18*(1+Inputs!B19)^(Inputs!B20-Inputs!B11), 0)</f>
        <v>0</v>
      </c>
      <c r="N13" s="6">
        <f>IF(F13=Inputs!B21, Inputs!B18*(1+Inputs!B19)^(Inputs!B21-Inputs!B12), 0)</f>
        <v>0</v>
      </c>
      <c r="O13" s="6">
        <f t="shared" si="3"/>
        <v>0</v>
      </c>
      <c r="P13" s="6">
        <f t="shared" si="4"/>
        <v>1568086.953</v>
      </c>
      <c r="Q13" s="6">
        <f>(C13-P13)*IF(B13&lt;Inputs!B5,Inputs!B9,Inputs!B10)</f>
        <v>1609873.255</v>
      </c>
      <c r="R13" s="6">
        <f t="shared" si="5"/>
        <v>17708605.81</v>
      </c>
    </row>
    <row r="14" ht="14.25" customHeight="1">
      <c r="A14" s="6">
        <f>Inputs!B23 + ROW()-2</f>
        <v>2038</v>
      </c>
      <c r="B14" s="6">
        <f>Inputs!B3 + ROW()-2</f>
        <v>55</v>
      </c>
      <c r="C14" s="6">
        <f>IF(ROW()=2,Inputs!B6,R13)</f>
        <v>17708605.81</v>
      </c>
      <c r="D14" s="6">
        <f>IF(B14&lt;Inputs!B5,0, Inputs!B7*(1+Inputs!B8)^(B14-Inputs!B3))</f>
        <v>1351314.953</v>
      </c>
      <c r="E14" s="6">
        <f>Inputs!B11 + (B14-Inputs!B3)</f>
        <v>25</v>
      </c>
      <c r="F14" s="6">
        <f>Inputs!B12 + (B14-Inputs!B3)</f>
        <v>16</v>
      </c>
      <c r="G14" s="6">
        <f>IF(E14&lt;18, Inputs!B13*(1+Inputs!B15)^(INT((B14-Inputs!B3)/Inputs!B22)), 0)</f>
        <v>0</v>
      </c>
      <c r="H14" s="6">
        <f>IF(F14&lt;18, Inputs!B14*(1+Inputs!B15)^(INT((B14-Inputs!B3)/Inputs!B22)), 0)</f>
        <v>381469.7266</v>
      </c>
      <c r="I14" s="6">
        <f t="shared" si="1"/>
        <v>381469.7266</v>
      </c>
      <c r="J14" s="6">
        <f>IF(AND(E14&gt;=18,E14&lt;=21), (Inputs!B16*(1+Inputs!B17)^(18-Inputs!B11))/4, 0)</f>
        <v>0</v>
      </c>
      <c r="K14" s="6">
        <f>IF(AND(F14&gt;=18,F14&lt;=21), (Inputs!B16*(1+Inputs!B17)^(18-Inputs!B12))/4, 0)</f>
        <v>0</v>
      </c>
      <c r="L14" s="6">
        <f t="shared" si="2"/>
        <v>0</v>
      </c>
      <c r="M14" s="6">
        <f>IF(E14=Inputs!B20, Inputs!B18*(1+Inputs!B19)^(Inputs!B20-Inputs!B11), 0)</f>
        <v>0</v>
      </c>
      <c r="N14" s="6">
        <f>IF(F14=Inputs!B21, Inputs!B18*(1+Inputs!B19)^(Inputs!B21-Inputs!B12), 0)</f>
        <v>0</v>
      </c>
      <c r="O14" s="6">
        <f t="shared" si="3"/>
        <v>0</v>
      </c>
      <c r="P14" s="6">
        <f t="shared" si="4"/>
        <v>1732784.68</v>
      </c>
      <c r="Q14" s="6">
        <f>(C14-P14)*IF(B14&lt;Inputs!B5,Inputs!B9,Inputs!B10)</f>
        <v>1597582.113</v>
      </c>
      <c r="R14" s="6">
        <f t="shared" si="5"/>
        <v>17573403.24</v>
      </c>
    </row>
    <row r="15" ht="14.25" customHeight="1">
      <c r="A15" s="6">
        <f>Inputs!B23 + ROW()-2</f>
        <v>2039</v>
      </c>
      <c r="B15" s="6">
        <f>Inputs!B3 + ROW()-2</f>
        <v>56</v>
      </c>
      <c r="C15" s="6">
        <f>IF(ROW()=2,Inputs!B6,R14)</f>
        <v>17573403.24</v>
      </c>
      <c r="D15" s="6">
        <f>IF(B15&lt;Inputs!B5,0, Inputs!B7*(1+Inputs!B8)^(B15-Inputs!B3))</f>
        <v>1445907</v>
      </c>
      <c r="E15" s="6">
        <f>Inputs!B11 + (B15-Inputs!B3)</f>
        <v>26</v>
      </c>
      <c r="F15" s="6">
        <f>Inputs!B12 + (B15-Inputs!B3)</f>
        <v>17</v>
      </c>
      <c r="G15" s="6">
        <f>IF(E15&lt;18, Inputs!B13*(1+Inputs!B15)^(INT((B15-Inputs!B3)/Inputs!B22)), 0)</f>
        <v>0</v>
      </c>
      <c r="H15" s="6">
        <f>IF(F15&lt;18, Inputs!B14*(1+Inputs!B15)^(INT((B15-Inputs!B3)/Inputs!B22)), 0)</f>
        <v>381469.7266</v>
      </c>
      <c r="I15" s="6">
        <f t="shared" si="1"/>
        <v>381469.7266</v>
      </c>
      <c r="J15" s="6">
        <f>IF(AND(E15&gt;=18,E15&lt;=21), (Inputs!B16*(1+Inputs!B17)^(18-Inputs!B11))/4, 0)</f>
        <v>0</v>
      </c>
      <c r="K15" s="6">
        <f>IF(AND(F15&gt;=18,F15&lt;=21), (Inputs!B16*(1+Inputs!B17)^(18-Inputs!B12))/4, 0)</f>
        <v>0</v>
      </c>
      <c r="L15" s="6">
        <f t="shared" si="2"/>
        <v>0</v>
      </c>
      <c r="M15" s="6">
        <f>IF(E15=Inputs!B20, Inputs!B18*(1+Inputs!B19)^(Inputs!B20-Inputs!B11), 0)</f>
        <v>0</v>
      </c>
      <c r="N15" s="6">
        <f>IF(F15=Inputs!B21, Inputs!B18*(1+Inputs!B19)^(Inputs!B21-Inputs!B12), 0)</f>
        <v>0</v>
      </c>
      <c r="O15" s="6">
        <f t="shared" si="3"/>
        <v>0</v>
      </c>
      <c r="P15" s="6">
        <f t="shared" si="4"/>
        <v>1827376.727</v>
      </c>
      <c r="Q15" s="6">
        <f>(C15-P15)*IF(B15&lt;Inputs!B5,Inputs!B9,Inputs!B10)</f>
        <v>1574602.652</v>
      </c>
      <c r="R15" s="6">
        <f t="shared" si="5"/>
        <v>17320629.17</v>
      </c>
    </row>
    <row r="16" ht="14.25" customHeight="1">
      <c r="A16" s="6">
        <f>Inputs!B23 + ROW()-2</f>
        <v>2040</v>
      </c>
      <c r="B16" s="6">
        <f>Inputs!B3 + ROW()-2</f>
        <v>57</v>
      </c>
      <c r="C16" s="6">
        <f>IF(ROW()=2,Inputs!B6,R15)</f>
        <v>17320629.17</v>
      </c>
      <c r="D16" s="6">
        <f>IF(B16&lt;Inputs!B5,0, Inputs!B7*(1+Inputs!B8)^(B16-Inputs!B3))</f>
        <v>1547120.49</v>
      </c>
      <c r="E16" s="6">
        <f>Inputs!B11 + (B16-Inputs!B3)</f>
        <v>27</v>
      </c>
      <c r="F16" s="6">
        <f>Inputs!B12 + (B16-Inputs!B3)</f>
        <v>18</v>
      </c>
      <c r="G16" s="6">
        <f>IF(E16&lt;18, Inputs!B13*(1+Inputs!B15)^(INT((B16-Inputs!B3)/Inputs!B22)), 0)</f>
        <v>0</v>
      </c>
      <c r="H16" s="6">
        <f>IF(F16&lt;18, Inputs!B14*(1+Inputs!B15)^(INT((B16-Inputs!B3)/Inputs!B22)), 0)</f>
        <v>0</v>
      </c>
      <c r="I16" s="6">
        <f t="shared" si="1"/>
        <v>0</v>
      </c>
      <c r="J16" s="6">
        <f>IF(AND(E16&gt;=18,E16&lt;=21), (Inputs!B16*(1+Inputs!B17)^(18-Inputs!B11))/4, 0)</f>
        <v>0</v>
      </c>
      <c r="K16" s="6">
        <f>IF(AND(F16&gt;=18,F16&lt;=21), (Inputs!B16*(1+Inputs!B17)^(18-Inputs!B12))/4, 0)</f>
        <v>773560.2451</v>
      </c>
      <c r="L16" s="6">
        <f t="shared" si="2"/>
        <v>773560.2451</v>
      </c>
      <c r="M16" s="6">
        <f>IF(E16=Inputs!B20, Inputs!B18*(1+Inputs!B19)^(Inputs!B20-Inputs!B11), 0)</f>
        <v>0</v>
      </c>
      <c r="N16" s="6">
        <f>IF(F16=Inputs!B21, Inputs!B18*(1+Inputs!B19)^(Inputs!B21-Inputs!B12), 0)</f>
        <v>0</v>
      </c>
      <c r="O16" s="6">
        <f t="shared" si="3"/>
        <v>0</v>
      </c>
      <c r="P16" s="6">
        <f t="shared" si="4"/>
        <v>2320680.735</v>
      </c>
      <c r="Q16" s="6">
        <f>(C16-P16)*IF(B16&lt;Inputs!B5,Inputs!B9,Inputs!B10)</f>
        <v>1499994.843</v>
      </c>
      <c r="R16" s="6">
        <f t="shared" si="5"/>
        <v>16499943.28</v>
      </c>
    </row>
    <row r="17" ht="14.25" customHeight="1">
      <c r="A17" s="6">
        <f>Inputs!B23 + ROW()-2</f>
        <v>2041</v>
      </c>
      <c r="B17" s="6">
        <f>Inputs!B3 + ROW()-2</f>
        <v>58</v>
      </c>
      <c r="C17" s="6">
        <f>IF(ROW()=2,Inputs!B6,R16)</f>
        <v>16499943.28</v>
      </c>
      <c r="D17" s="6">
        <f>IF(B17&lt;Inputs!B5,0, Inputs!B7*(1+Inputs!B8)^(B17-Inputs!B3))</f>
        <v>1655418.924</v>
      </c>
      <c r="E17" s="6">
        <f>Inputs!B11 + (B17-Inputs!B3)</f>
        <v>28</v>
      </c>
      <c r="F17" s="6">
        <f>Inputs!B12 + (B17-Inputs!B3)</f>
        <v>19</v>
      </c>
      <c r="G17" s="6">
        <f>IF(E17&lt;18, Inputs!B13*(1+Inputs!B15)^(INT((B17-Inputs!B3)/Inputs!B22)), 0)</f>
        <v>0</v>
      </c>
      <c r="H17" s="6">
        <f>IF(F17&lt;18, Inputs!B14*(1+Inputs!B15)^(INT((B17-Inputs!B3)/Inputs!B22)), 0)</f>
        <v>0</v>
      </c>
      <c r="I17" s="6">
        <f t="shared" si="1"/>
        <v>0</v>
      </c>
      <c r="J17" s="6">
        <f>IF(AND(E17&gt;=18,E17&lt;=21), (Inputs!B16*(1+Inputs!B17)^(18-Inputs!B11))/4, 0)</f>
        <v>0</v>
      </c>
      <c r="K17" s="6">
        <f>IF(AND(F17&gt;=18,F17&lt;=21), (Inputs!B16*(1+Inputs!B17)^(18-Inputs!B12))/4, 0)</f>
        <v>773560.2451</v>
      </c>
      <c r="L17" s="6">
        <f t="shared" si="2"/>
        <v>773560.2451</v>
      </c>
      <c r="M17" s="6">
        <f>IF(E17=Inputs!B20, Inputs!B18*(1+Inputs!B19)^(Inputs!B20-Inputs!B11), 0)</f>
        <v>1379515.77</v>
      </c>
      <c r="N17" s="6">
        <f>IF(F17=Inputs!B21, Inputs!B18*(1+Inputs!B19)^(Inputs!B21-Inputs!B12), 0)</f>
        <v>0</v>
      </c>
      <c r="O17" s="6">
        <f t="shared" si="3"/>
        <v>1379515.77</v>
      </c>
      <c r="P17" s="6">
        <f t="shared" si="4"/>
        <v>3808494.94</v>
      </c>
      <c r="Q17" s="6">
        <f>(C17-P17)*IF(B17&lt;Inputs!B5,Inputs!B9,Inputs!B10)</f>
        <v>1269144.834</v>
      </c>
      <c r="R17" s="6">
        <f t="shared" si="5"/>
        <v>13960593.17</v>
      </c>
    </row>
    <row r="18" ht="14.25" customHeight="1">
      <c r="A18" s="6">
        <f>Inputs!B23 + ROW()-2</f>
        <v>2042</v>
      </c>
      <c r="B18" s="6">
        <f>Inputs!B3 + ROW()-2</f>
        <v>59</v>
      </c>
      <c r="C18" s="6">
        <f>IF(ROW()=2,Inputs!B6,R17)</f>
        <v>13960593.17</v>
      </c>
      <c r="D18" s="6">
        <f>IF(B18&lt;Inputs!B5,0, Inputs!B7*(1+Inputs!B8)^(B18-Inputs!B3))</f>
        <v>1771298.249</v>
      </c>
      <c r="E18" s="6">
        <f>Inputs!B11 + (B18-Inputs!B3)</f>
        <v>29</v>
      </c>
      <c r="F18" s="6">
        <f>Inputs!B12 + (B18-Inputs!B3)</f>
        <v>20</v>
      </c>
      <c r="G18" s="6">
        <f>IF(E18&lt;18, Inputs!B13*(1+Inputs!B15)^(INT((B18-Inputs!B3)/Inputs!B22)), 0)</f>
        <v>0</v>
      </c>
      <c r="H18" s="6">
        <f>IF(F18&lt;18, Inputs!B14*(1+Inputs!B15)^(INT((B18-Inputs!B3)/Inputs!B22)), 0)</f>
        <v>0</v>
      </c>
      <c r="I18" s="6">
        <f t="shared" si="1"/>
        <v>0</v>
      </c>
      <c r="J18" s="6">
        <f>IF(AND(E18&gt;=18,E18&lt;=21), (Inputs!B16*(1+Inputs!B17)^(18-Inputs!B11))/4, 0)</f>
        <v>0</v>
      </c>
      <c r="K18" s="6">
        <f>IF(AND(F18&gt;=18,F18&lt;=21), (Inputs!B16*(1+Inputs!B17)^(18-Inputs!B12))/4, 0)</f>
        <v>773560.2451</v>
      </c>
      <c r="L18" s="6">
        <f t="shared" si="2"/>
        <v>773560.2451</v>
      </c>
      <c r="M18" s="6">
        <f>IF(E18=Inputs!B20, Inputs!B18*(1+Inputs!B19)^(Inputs!B20-Inputs!B11), 0)</f>
        <v>0</v>
      </c>
      <c r="N18" s="6">
        <f>IF(F18=Inputs!B21, Inputs!B18*(1+Inputs!B19)^(Inputs!B21-Inputs!B12), 0)</f>
        <v>0</v>
      </c>
      <c r="O18" s="6">
        <f t="shared" si="3"/>
        <v>0</v>
      </c>
      <c r="P18" s="6">
        <f t="shared" si="4"/>
        <v>2544858.494</v>
      </c>
      <c r="Q18" s="6">
        <f>(C18-P18)*IF(B18&lt;Inputs!B5,Inputs!B9,Inputs!B10)</f>
        <v>1141573.468</v>
      </c>
      <c r="R18" s="6">
        <f t="shared" si="5"/>
        <v>12557308.14</v>
      </c>
    </row>
    <row r="19" ht="14.25" customHeight="1">
      <c r="A19" s="6">
        <f>Inputs!B23 + ROW()-2</f>
        <v>2043</v>
      </c>
      <c r="B19" s="6">
        <f>Inputs!B3 + ROW()-2</f>
        <v>60</v>
      </c>
      <c r="C19" s="6">
        <f>IF(ROW()=2,Inputs!B6,R18)</f>
        <v>12557308.14</v>
      </c>
      <c r="D19" s="6">
        <f>IF(B19&lt;Inputs!B5,0, Inputs!B7*(1+Inputs!B8)^(B19-Inputs!B3))</f>
        <v>1895289.127</v>
      </c>
      <c r="E19" s="6">
        <f>Inputs!B11 + (B19-Inputs!B3)</f>
        <v>30</v>
      </c>
      <c r="F19" s="6">
        <f>Inputs!B12 + (B19-Inputs!B3)</f>
        <v>21</v>
      </c>
      <c r="G19" s="6">
        <f>IF(E19&lt;18, Inputs!B13*(1+Inputs!B15)^(INT((B19-Inputs!B3)/Inputs!B22)), 0)</f>
        <v>0</v>
      </c>
      <c r="H19" s="6">
        <f>IF(F19&lt;18, Inputs!B14*(1+Inputs!B15)^(INT((B19-Inputs!B3)/Inputs!B22)), 0)</f>
        <v>0</v>
      </c>
      <c r="I19" s="6">
        <f t="shared" si="1"/>
        <v>0</v>
      </c>
      <c r="J19" s="6">
        <f>IF(AND(E19&gt;=18,E19&lt;=21), (Inputs!B16*(1+Inputs!B17)^(18-Inputs!B11))/4, 0)</f>
        <v>0</v>
      </c>
      <c r="K19" s="6">
        <f>IF(AND(F19&gt;=18,F19&lt;=21), (Inputs!B16*(1+Inputs!B17)^(18-Inputs!B12))/4, 0)</f>
        <v>773560.2451</v>
      </c>
      <c r="L19" s="6">
        <f t="shared" si="2"/>
        <v>773560.2451</v>
      </c>
      <c r="M19" s="6">
        <f>IF(E19=Inputs!B20, Inputs!B18*(1+Inputs!B19)^(Inputs!B20-Inputs!B11), 0)</f>
        <v>0</v>
      </c>
      <c r="N19" s="6">
        <f>IF(F19=Inputs!B21, Inputs!B18*(1+Inputs!B19)^(Inputs!B21-Inputs!B12), 0)</f>
        <v>0</v>
      </c>
      <c r="O19" s="6">
        <f t="shared" si="3"/>
        <v>0</v>
      </c>
      <c r="P19" s="6">
        <f t="shared" si="4"/>
        <v>2668849.372</v>
      </c>
      <c r="Q19" s="6">
        <f>(C19-P19)*IF(B19&lt;Inputs!B5,Inputs!B9,Inputs!B10)</f>
        <v>988845.8771</v>
      </c>
      <c r="R19" s="6">
        <f t="shared" si="5"/>
        <v>10877304.65</v>
      </c>
    </row>
    <row r="20" ht="14.25" customHeight="1">
      <c r="A20" s="6">
        <f>Inputs!B23 + ROW()-2</f>
        <v>2044</v>
      </c>
      <c r="B20" s="6">
        <f>Inputs!B3 + ROW()-2</f>
        <v>61</v>
      </c>
      <c r="C20" s="6">
        <f>IF(ROW()=2,Inputs!B6,R19)</f>
        <v>10877304.65</v>
      </c>
      <c r="D20" s="6">
        <f>IF(B20&lt;Inputs!B5,0, Inputs!B7*(1+Inputs!B8)^(B20-Inputs!B3))</f>
        <v>2027959.365</v>
      </c>
      <c r="E20" s="6">
        <f>Inputs!B11 + (B20-Inputs!B3)</f>
        <v>31</v>
      </c>
      <c r="F20" s="6">
        <f>Inputs!B12 + (B20-Inputs!B3)</f>
        <v>22</v>
      </c>
      <c r="G20" s="6">
        <f>IF(E20&lt;18, Inputs!B13*(1+Inputs!B15)^(INT((B20-Inputs!B3)/Inputs!B22)), 0)</f>
        <v>0</v>
      </c>
      <c r="H20" s="6">
        <f>IF(F20&lt;18, Inputs!B14*(1+Inputs!B15)^(INT((B20-Inputs!B3)/Inputs!B22)), 0)</f>
        <v>0</v>
      </c>
      <c r="I20" s="6">
        <f t="shared" si="1"/>
        <v>0</v>
      </c>
      <c r="J20" s="6">
        <f>IF(AND(E20&gt;=18,E20&lt;=21), (Inputs!B16*(1+Inputs!B17)^(18-Inputs!B11))/4, 0)</f>
        <v>0</v>
      </c>
      <c r="K20" s="6">
        <f>IF(AND(F20&gt;=18,F20&lt;=21), (Inputs!B16*(1+Inputs!B17)^(18-Inputs!B12))/4, 0)</f>
        <v>0</v>
      </c>
      <c r="L20" s="6">
        <f t="shared" si="2"/>
        <v>0</v>
      </c>
      <c r="M20" s="6">
        <f>IF(E20=Inputs!B20, Inputs!B18*(1+Inputs!B19)^(Inputs!B20-Inputs!B11), 0)</f>
        <v>0</v>
      </c>
      <c r="N20" s="6">
        <f>IF(F20=Inputs!B21, Inputs!B18*(1+Inputs!B19)^(Inputs!B21-Inputs!B12), 0)</f>
        <v>0</v>
      </c>
      <c r="O20" s="6">
        <f t="shared" si="3"/>
        <v>0</v>
      </c>
      <c r="P20" s="6">
        <f t="shared" si="4"/>
        <v>2027959.365</v>
      </c>
      <c r="Q20" s="6">
        <f>(C20-P20)*IF(B20&lt;Inputs!B5,Inputs!B9,Inputs!B10)</f>
        <v>884934.5283</v>
      </c>
      <c r="R20" s="6">
        <f t="shared" si="5"/>
        <v>9734279.811</v>
      </c>
    </row>
    <row r="21" ht="14.25" customHeight="1">
      <c r="A21" s="6">
        <f>Inputs!B23 + ROW()-2</f>
        <v>2045</v>
      </c>
      <c r="B21" s="6">
        <f>Inputs!B3 + ROW()-2</f>
        <v>62</v>
      </c>
      <c r="C21" s="6">
        <f>IF(ROW()=2,Inputs!B6,R20)</f>
        <v>9734279.811</v>
      </c>
      <c r="D21" s="6">
        <f>IF(B21&lt;Inputs!B5,0, Inputs!B7*(1+Inputs!B8)^(B21-Inputs!B3))</f>
        <v>2169916.521</v>
      </c>
      <c r="E21" s="6">
        <f>Inputs!B11 + (B21-Inputs!B3)</f>
        <v>32</v>
      </c>
      <c r="F21" s="6">
        <f>Inputs!B12 + (B21-Inputs!B3)</f>
        <v>23</v>
      </c>
      <c r="G21" s="6">
        <f>IF(E21&lt;18, Inputs!B13*(1+Inputs!B15)^(INT((B21-Inputs!B3)/Inputs!B22)), 0)</f>
        <v>0</v>
      </c>
      <c r="H21" s="6">
        <f>IF(F21&lt;18, Inputs!B14*(1+Inputs!B15)^(INT((B21-Inputs!B3)/Inputs!B22)), 0)</f>
        <v>0</v>
      </c>
      <c r="I21" s="6">
        <f t="shared" si="1"/>
        <v>0</v>
      </c>
      <c r="J21" s="6">
        <f>IF(AND(E21&gt;=18,E21&lt;=21), (Inputs!B16*(1+Inputs!B17)^(18-Inputs!B11))/4, 0)</f>
        <v>0</v>
      </c>
      <c r="K21" s="6">
        <f>IF(AND(F21&gt;=18,F21&lt;=21), (Inputs!B16*(1+Inputs!B17)^(18-Inputs!B12))/4, 0)</f>
        <v>0</v>
      </c>
      <c r="L21" s="6">
        <f t="shared" si="2"/>
        <v>0</v>
      </c>
      <c r="M21" s="6">
        <f>IF(E21=Inputs!B20, Inputs!B18*(1+Inputs!B19)^(Inputs!B20-Inputs!B11), 0)</f>
        <v>0</v>
      </c>
      <c r="N21" s="6">
        <f>IF(F21=Inputs!B21, Inputs!B18*(1+Inputs!B19)^(Inputs!B21-Inputs!B12), 0)</f>
        <v>0</v>
      </c>
      <c r="O21" s="6">
        <f t="shared" si="3"/>
        <v>0</v>
      </c>
      <c r="P21" s="6">
        <f t="shared" si="4"/>
        <v>2169916.521</v>
      </c>
      <c r="Q21" s="6">
        <f>(C21-P21)*IF(B21&lt;Inputs!B5,Inputs!B9,Inputs!B10)</f>
        <v>756436.329</v>
      </c>
      <c r="R21" s="6">
        <f t="shared" si="5"/>
        <v>8320799.619</v>
      </c>
    </row>
    <row r="22" ht="14.25" customHeight="1">
      <c r="A22" s="6">
        <f>Inputs!B23 + ROW()-2</f>
        <v>2046</v>
      </c>
      <c r="B22" s="6">
        <f>Inputs!B3 + ROW()-2</f>
        <v>63</v>
      </c>
      <c r="C22" s="6">
        <f>IF(ROW()=2,Inputs!B6,R21)</f>
        <v>8320799.619</v>
      </c>
      <c r="D22" s="6">
        <f>IF(B22&lt;Inputs!B5,0, Inputs!B7*(1+Inputs!B8)^(B22-Inputs!B3))</f>
        <v>2321810.677</v>
      </c>
      <c r="E22" s="6">
        <f>Inputs!B11 + (B22-Inputs!B3)</f>
        <v>33</v>
      </c>
      <c r="F22" s="6">
        <f>Inputs!B12 + (B22-Inputs!B3)</f>
        <v>24</v>
      </c>
      <c r="G22" s="6">
        <f>IF(E22&lt;18, Inputs!B13*(1+Inputs!B15)^(INT((B22-Inputs!B3)/Inputs!B22)), 0)</f>
        <v>0</v>
      </c>
      <c r="H22" s="6">
        <f>IF(F22&lt;18, Inputs!B14*(1+Inputs!B15)^(INT((B22-Inputs!B3)/Inputs!B22)), 0)</f>
        <v>0</v>
      </c>
      <c r="I22" s="6">
        <f t="shared" si="1"/>
        <v>0</v>
      </c>
      <c r="J22" s="6">
        <f>IF(AND(E22&gt;=18,E22&lt;=21), (Inputs!B16*(1+Inputs!B17)^(18-Inputs!B11))/4, 0)</f>
        <v>0</v>
      </c>
      <c r="K22" s="6">
        <f>IF(AND(F22&gt;=18,F22&lt;=21), (Inputs!B16*(1+Inputs!B17)^(18-Inputs!B12))/4, 0)</f>
        <v>0</v>
      </c>
      <c r="L22" s="6">
        <f t="shared" si="2"/>
        <v>0</v>
      </c>
      <c r="M22" s="6">
        <f>IF(E22=Inputs!B20, Inputs!B18*(1+Inputs!B19)^(Inputs!B20-Inputs!B11), 0)</f>
        <v>0</v>
      </c>
      <c r="N22" s="6">
        <f>IF(F22=Inputs!B21, Inputs!B18*(1+Inputs!B19)^(Inputs!B21-Inputs!B12), 0)</f>
        <v>0</v>
      </c>
      <c r="O22" s="6">
        <f t="shared" si="3"/>
        <v>0</v>
      </c>
      <c r="P22" s="6">
        <f t="shared" si="4"/>
        <v>2321810.677</v>
      </c>
      <c r="Q22" s="6">
        <f>(C22-P22)*IF(B22&lt;Inputs!B5,Inputs!B9,Inputs!B10)</f>
        <v>599898.8942</v>
      </c>
      <c r="R22" s="6">
        <f t="shared" si="5"/>
        <v>6598887.836</v>
      </c>
    </row>
    <row r="23" ht="14.25" customHeight="1">
      <c r="A23" s="6">
        <f>Inputs!B23 + ROW()-2</f>
        <v>2047</v>
      </c>
      <c r="B23" s="6">
        <f>Inputs!B3 + ROW()-2</f>
        <v>64</v>
      </c>
      <c r="C23" s="6">
        <f>IF(ROW()=2,Inputs!B6,R22)</f>
        <v>6598887.836</v>
      </c>
      <c r="D23" s="6">
        <f>IF(B23&lt;Inputs!B5,0, Inputs!B7*(1+Inputs!B8)^(B23-Inputs!B3))</f>
        <v>2484337.425</v>
      </c>
      <c r="E23" s="6">
        <f>Inputs!B11 + (B23-Inputs!B3)</f>
        <v>34</v>
      </c>
      <c r="F23" s="6">
        <f>Inputs!B12 + (B23-Inputs!B3)</f>
        <v>25</v>
      </c>
      <c r="G23" s="6">
        <f>IF(E23&lt;18, Inputs!B13*(1+Inputs!B15)^(INT((B23-Inputs!B3)/Inputs!B22)), 0)</f>
        <v>0</v>
      </c>
      <c r="H23" s="6">
        <f>IF(F23&lt;18, Inputs!B14*(1+Inputs!B15)^(INT((B23-Inputs!B3)/Inputs!B22)), 0)</f>
        <v>0</v>
      </c>
      <c r="I23" s="6">
        <f t="shared" si="1"/>
        <v>0</v>
      </c>
      <c r="J23" s="6">
        <f>IF(AND(E23&gt;=18,E23&lt;=21), (Inputs!B16*(1+Inputs!B17)^(18-Inputs!B11))/4, 0)</f>
        <v>0</v>
      </c>
      <c r="K23" s="6">
        <f>IF(AND(F23&gt;=18,F23&lt;=21), (Inputs!B16*(1+Inputs!B17)^(18-Inputs!B12))/4, 0)</f>
        <v>0</v>
      </c>
      <c r="L23" s="6">
        <f t="shared" si="2"/>
        <v>0</v>
      </c>
      <c r="M23" s="6">
        <f>IF(E23=Inputs!B20, Inputs!B18*(1+Inputs!B19)^(Inputs!B20-Inputs!B11), 0)</f>
        <v>0</v>
      </c>
      <c r="N23" s="6">
        <f>IF(F23=Inputs!B21, Inputs!B18*(1+Inputs!B19)^(Inputs!B21-Inputs!B12), 0)</f>
        <v>2070281.187</v>
      </c>
      <c r="O23" s="6">
        <f t="shared" si="3"/>
        <v>2070281.187</v>
      </c>
      <c r="P23" s="6">
        <f t="shared" si="4"/>
        <v>4554618.612</v>
      </c>
      <c r="Q23" s="6">
        <f>(C23-P23)*IF(B23&lt;Inputs!B5,Inputs!B9,Inputs!B10)</f>
        <v>204426.9224</v>
      </c>
      <c r="R23" s="6">
        <f t="shared" si="5"/>
        <v>2248696.146</v>
      </c>
    </row>
    <row r="24" ht="14.25" customHeight="1">
      <c r="A24" s="6">
        <f>Inputs!B23 + ROW()-2</f>
        <v>2048</v>
      </c>
      <c r="B24" s="6">
        <f>Inputs!B3 + ROW()-2</f>
        <v>65</v>
      </c>
      <c r="C24" s="6">
        <f>IF(ROW()=2,Inputs!B6,R23)</f>
        <v>2248696.146</v>
      </c>
      <c r="D24" s="6">
        <f>IF(B24&lt;Inputs!B5,0, Inputs!B7*(1+Inputs!B8)^(B24-Inputs!B3))</f>
        <v>2658241.045</v>
      </c>
      <c r="E24" s="6">
        <f>Inputs!B11 + (B24-Inputs!B3)</f>
        <v>35</v>
      </c>
      <c r="F24" s="6">
        <f>Inputs!B12 + (B24-Inputs!B3)</f>
        <v>26</v>
      </c>
      <c r="G24" s="6">
        <f>IF(E24&lt;18, Inputs!B13*(1+Inputs!B15)^(INT((B24-Inputs!B3)/Inputs!B22)), 0)</f>
        <v>0</v>
      </c>
      <c r="H24" s="6">
        <f>IF(F24&lt;18, Inputs!B14*(1+Inputs!B15)^(INT((B24-Inputs!B3)/Inputs!B22)), 0)</f>
        <v>0</v>
      </c>
      <c r="I24" s="6">
        <f t="shared" si="1"/>
        <v>0</v>
      </c>
      <c r="J24" s="6">
        <f>IF(AND(E24&gt;=18,E24&lt;=21), (Inputs!B16*(1+Inputs!B17)^(18-Inputs!B11))/4, 0)</f>
        <v>0</v>
      </c>
      <c r="K24" s="6">
        <f>IF(AND(F24&gt;=18,F24&lt;=21), (Inputs!B16*(1+Inputs!B17)^(18-Inputs!B12))/4, 0)</f>
        <v>0</v>
      </c>
      <c r="L24" s="6">
        <f t="shared" si="2"/>
        <v>0</v>
      </c>
      <c r="M24" s="6">
        <f>IF(E24=Inputs!B20, Inputs!B18*(1+Inputs!B19)^(Inputs!B20-Inputs!B11), 0)</f>
        <v>0</v>
      </c>
      <c r="N24" s="6">
        <f>IF(F24=Inputs!B21, Inputs!B18*(1+Inputs!B19)^(Inputs!B21-Inputs!B12), 0)</f>
        <v>0</v>
      </c>
      <c r="O24" s="6">
        <f t="shared" si="3"/>
        <v>0</v>
      </c>
      <c r="P24" s="6">
        <f t="shared" si="4"/>
        <v>2658241.045</v>
      </c>
      <c r="Q24" s="6">
        <f>(C24-P24)*IF(B24&lt;Inputs!B5,Inputs!B9,Inputs!B10)</f>
        <v>-40954.48985</v>
      </c>
      <c r="R24" s="6">
        <f t="shared" si="5"/>
        <v>-450499.3884</v>
      </c>
    </row>
    <row r="25" ht="14.25" customHeight="1">
      <c r="A25" s="6">
        <f>Inputs!B23 + ROW()-2</f>
        <v>2049</v>
      </c>
      <c r="B25" s="6">
        <f>Inputs!B3 + ROW()-2</f>
        <v>66</v>
      </c>
      <c r="C25" s="6">
        <f>IF(ROW()=2,Inputs!B6,R24)</f>
        <v>-450499.3884</v>
      </c>
      <c r="D25" s="6">
        <f>IF(B25&lt;Inputs!B5,0, Inputs!B7*(1+Inputs!B8)^(B25-Inputs!B3))</f>
        <v>2844317.918</v>
      </c>
      <c r="E25" s="6">
        <f>Inputs!B11 + (B25-Inputs!B3)</f>
        <v>36</v>
      </c>
      <c r="F25" s="6">
        <f>Inputs!B12 + (B25-Inputs!B3)</f>
        <v>27</v>
      </c>
      <c r="G25" s="6">
        <f>IF(E25&lt;18, Inputs!B13*(1+Inputs!B15)^(INT((B25-Inputs!B3)/Inputs!B22)), 0)</f>
        <v>0</v>
      </c>
      <c r="H25" s="6">
        <f>IF(F25&lt;18, Inputs!B14*(1+Inputs!B15)^(INT((B25-Inputs!B3)/Inputs!B22)), 0)</f>
        <v>0</v>
      </c>
      <c r="I25" s="6">
        <f t="shared" si="1"/>
        <v>0</v>
      </c>
      <c r="J25" s="6">
        <f>IF(AND(E25&gt;=18,E25&lt;=21), (Inputs!B16*(1+Inputs!B17)^(18-Inputs!B11))/4, 0)</f>
        <v>0</v>
      </c>
      <c r="K25" s="6">
        <f>IF(AND(F25&gt;=18,F25&lt;=21), (Inputs!B16*(1+Inputs!B17)^(18-Inputs!B12))/4, 0)</f>
        <v>0</v>
      </c>
      <c r="L25" s="6">
        <f t="shared" si="2"/>
        <v>0</v>
      </c>
      <c r="M25" s="6">
        <f>IF(E25=Inputs!B20, Inputs!B18*(1+Inputs!B19)^(Inputs!B20-Inputs!B11), 0)</f>
        <v>0</v>
      </c>
      <c r="N25" s="6">
        <f>IF(F25=Inputs!B21, Inputs!B18*(1+Inputs!B19)^(Inputs!B21-Inputs!B12), 0)</f>
        <v>0</v>
      </c>
      <c r="O25" s="6">
        <f t="shared" si="3"/>
        <v>0</v>
      </c>
      <c r="P25" s="6">
        <f t="shared" si="4"/>
        <v>2844317.918</v>
      </c>
      <c r="Q25" s="6">
        <f>(C25-P25)*IF(B25&lt;Inputs!B5,Inputs!B9,Inputs!B10)</f>
        <v>-329481.7306</v>
      </c>
      <c r="R25" s="6">
        <f t="shared" si="5"/>
        <v>-3624299.037</v>
      </c>
    </row>
    <row r="26" ht="14.25" customHeight="1">
      <c r="A26" s="6">
        <f>Inputs!B23 + ROW()-2</f>
        <v>2050</v>
      </c>
      <c r="B26" s="6">
        <f>Inputs!B3 + ROW()-2</f>
        <v>67</v>
      </c>
      <c r="C26" s="6">
        <f>IF(ROW()=2,Inputs!B6,R25)</f>
        <v>-3624299.037</v>
      </c>
      <c r="D26" s="6">
        <f>IF(B26&lt;Inputs!B5,0, Inputs!B7*(1+Inputs!B8)^(B26-Inputs!B3))</f>
        <v>3043420.172</v>
      </c>
      <c r="E26" s="6">
        <f>Inputs!B11 + (B26-Inputs!B3)</f>
        <v>37</v>
      </c>
      <c r="F26" s="6">
        <f>Inputs!B12 + (B26-Inputs!B3)</f>
        <v>28</v>
      </c>
      <c r="G26" s="6">
        <f>IF(E26&lt;18, Inputs!B13*(1+Inputs!B15)^(INT((B26-Inputs!B3)/Inputs!B22)), 0)</f>
        <v>0</v>
      </c>
      <c r="H26" s="6">
        <f>IF(F26&lt;18, Inputs!B14*(1+Inputs!B15)^(INT((B26-Inputs!B3)/Inputs!B22)), 0)</f>
        <v>0</v>
      </c>
      <c r="I26" s="6">
        <f t="shared" si="1"/>
        <v>0</v>
      </c>
      <c r="J26" s="6">
        <f>IF(AND(E26&gt;=18,E26&lt;=21), (Inputs!B16*(1+Inputs!B17)^(18-Inputs!B11))/4, 0)</f>
        <v>0</v>
      </c>
      <c r="K26" s="6">
        <f>IF(AND(F26&gt;=18,F26&lt;=21), (Inputs!B16*(1+Inputs!B17)^(18-Inputs!B12))/4, 0)</f>
        <v>0</v>
      </c>
      <c r="L26" s="6">
        <f t="shared" si="2"/>
        <v>0</v>
      </c>
      <c r="M26" s="6">
        <f>IF(E26=Inputs!B20, Inputs!B18*(1+Inputs!B19)^(Inputs!B20-Inputs!B11), 0)</f>
        <v>0</v>
      </c>
      <c r="N26" s="6">
        <f>IF(F26=Inputs!B21, Inputs!B18*(1+Inputs!B19)^(Inputs!B21-Inputs!B12), 0)</f>
        <v>0</v>
      </c>
      <c r="O26" s="6">
        <f t="shared" si="3"/>
        <v>0</v>
      </c>
      <c r="P26" s="6">
        <f t="shared" si="4"/>
        <v>3043420.172</v>
      </c>
      <c r="Q26" s="6">
        <f>(C26-P26)*IF(B26&lt;Inputs!B5,Inputs!B9,Inputs!B10)</f>
        <v>-666771.9209</v>
      </c>
      <c r="R26" s="6">
        <f t="shared" si="5"/>
        <v>-7334491.13</v>
      </c>
    </row>
    <row r="27" ht="14.25" customHeight="1">
      <c r="A27" s="6">
        <f>Inputs!B23 + ROW()-2</f>
        <v>2051</v>
      </c>
      <c r="B27" s="6">
        <f>Inputs!B3 + ROW()-2</f>
        <v>68</v>
      </c>
      <c r="C27" s="6">
        <f>IF(ROW()=2,Inputs!B6,R26)</f>
        <v>-7334491.13</v>
      </c>
      <c r="D27" s="6">
        <f>IF(B27&lt;Inputs!B5,0, Inputs!B7*(1+Inputs!B8)^(B27-Inputs!B3))</f>
        <v>3256459.584</v>
      </c>
      <c r="E27" s="6">
        <f>Inputs!B11 + (B27-Inputs!B3)</f>
        <v>38</v>
      </c>
      <c r="F27" s="6">
        <f>Inputs!B12 + (B27-Inputs!B3)</f>
        <v>29</v>
      </c>
      <c r="G27" s="6">
        <f>IF(E27&lt;18, Inputs!B13*(1+Inputs!B15)^(INT((B27-Inputs!B3)/Inputs!B22)), 0)</f>
        <v>0</v>
      </c>
      <c r="H27" s="6">
        <f>IF(F27&lt;18, Inputs!B14*(1+Inputs!B15)^(INT((B27-Inputs!B3)/Inputs!B22)), 0)</f>
        <v>0</v>
      </c>
      <c r="I27" s="6">
        <f t="shared" si="1"/>
        <v>0</v>
      </c>
      <c r="J27" s="6">
        <f>IF(AND(E27&gt;=18,E27&lt;=21), (Inputs!B16*(1+Inputs!B17)^(18-Inputs!B11))/4, 0)</f>
        <v>0</v>
      </c>
      <c r="K27" s="6">
        <f>IF(AND(F27&gt;=18,F27&lt;=21), (Inputs!B16*(1+Inputs!B17)^(18-Inputs!B12))/4, 0)</f>
        <v>0</v>
      </c>
      <c r="L27" s="6">
        <f t="shared" si="2"/>
        <v>0</v>
      </c>
      <c r="M27" s="6">
        <f>IF(E27=Inputs!B20, Inputs!B18*(1+Inputs!B19)^(Inputs!B20-Inputs!B11), 0)</f>
        <v>0</v>
      </c>
      <c r="N27" s="6">
        <f>IF(F27=Inputs!B21, Inputs!B18*(1+Inputs!B19)^(Inputs!B21-Inputs!B12), 0)</f>
        <v>0</v>
      </c>
      <c r="O27" s="6">
        <f t="shared" si="3"/>
        <v>0</v>
      </c>
      <c r="P27" s="6">
        <f t="shared" si="4"/>
        <v>3256459.584</v>
      </c>
      <c r="Q27" s="6">
        <f>(C27-P27)*IF(B27&lt;Inputs!B5,Inputs!B9,Inputs!B10)</f>
        <v>-1059095.071</v>
      </c>
      <c r="R27" s="6">
        <f t="shared" si="5"/>
        <v>-11650045.79</v>
      </c>
    </row>
    <row r="28" ht="14.25" customHeight="1">
      <c r="A28" s="6">
        <f>Inputs!B23 + ROW()-2</f>
        <v>2052</v>
      </c>
      <c r="B28" s="6">
        <f>Inputs!B3 + ROW()-2</f>
        <v>69</v>
      </c>
      <c r="C28" s="6">
        <f>IF(ROW()=2,Inputs!B6,R27)</f>
        <v>-11650045.79</v>
      </c>
      <c r="D28" s="6">
        <f>IF(B28&lt;Inputs!B5,0, Inputs!B7*(1+Inputs!B8)^(B28-Inputs!B3))</f>
        <v>3484411.755</v>
      </c>
      <c r="E28" s="6">
        <f>Inputs!B11 + (B28-Inputs!B3)</f>
        <v>39</v>
      </c>
      <c r="F28" s="6">
        <f>Inputs!B12 + (B28-Inputs!B3)</f>
        <v>30</v>
      </c>
      <c r="G28" s="6">
        <f>IF(E28&lt;18, Inputs!B13*(1+Inputs!B15)^(INT((B28-Inputs!B3)/Inputs!B22)), 0)</f>
        <v>0</v>
      </c>
      <c r="H28" s="6">
        <f>IF(F28&lt;18, Inputs!B14*(1+Inputs!B15)^(INT((B28-Inputs!B3)/Inputs!B22)), 0)</f>
        <v>0</v>
      </c>
      <c r="I28" s="6">
        <f t="shared" si="1"/>
        <v>0</v>
      </c>
      <c r="J28" s="6">
        <f>IF(AND(E28&gt;=18,E28&lt;=21), (Inputs!B16*(1+Inputs!B17)^(18-Inputs!B11))/4, 0)</f>
        <v>0</v>
      </c>
      <c r="K28" s="6">
        <f>IF(AND(F28&gt;=18,F28&lt;=21), (Inputs!B16*(1+Inputs!B17)^(18-Inputs!B12))/4, 0)</f>
        <v>0</v>
      </c>
      <c r="L28" s="6">
        <f t="shared" si="2"/>
        <v>0</v>
      </c>
      <c r="M28" s="6">
        <f>IF(E28=Inputs!B20, Inputs!B18*(1+Inputs!B19)^(Inputs!B20-Inputs!B11), 0)</f>
        <v>0</v>
      </c>
      <c r="N28" s="6">
        <f>IF(F28=Inputs!B21, Inputs!B18*(1+Inputs!B19)^(Inputs!B21-Inputs!B12), 0)</f>
        <v>0</v>
      </c>
      <c r="O28" s="6">
        <f t="shared" si="3"/>
        <v>0</v>
      </c>
      <c r="P28" s="6">
        <f t="shared" si="4"/>
        <v>3484411.755</v>
      </c>
      <c r="Q28" s="6">
        <f>(C28-P28)*IF(B28&lt;Inputs!B5,Inputs!B9,Inputs!B10)</f>
        <v>-1513445.754</v>
      </c>
      <c r="R28" s="6">
        <f t="shared" si="5"/>
        <v>-16647903.29</v>
      </c>
    </row>
    <row r="29" ht="14.25" customHeight="1">
      <c r="A29" s="6">
        <f>Inputs!B23 + ROW()-2</f>
        <v>2053</v>
      </c>
      <c r="B29" s="6">
        <f>Inputs!B3 + ROW()-2</f>
        <v>70</v>
      </c>
      <c r="C29" s="6">
        <f>IF(ROW()=2,Inputs!B6,R28)</f>
        <v>-16647903.29</v>
      </c>
      <c r="D29" s="6">
        <f>IF(B29&lt;Inputs!B5,0, Inputs!B7*(1+Inputs!B8)^(B29-Inputs!B3))</f>
        <v>3728320.578</v>
      </c>
      <c r="E29" s="6">
        <f>Inputs!B11 + (B29-Inputs!B3)</f>
        <v>40</v>
      </c>
      <c r="F29" s="6">
        <f>Inputs!B12 + (B29-Inputs!B3)</f>
        <v>31</v>
      </c>
      <c r="G29" s="6">
        <f>IF(E29&lt;18, Inputs!B13*(1+Inputs!B15)^(INT((B29-Inputs!B3)/Inputs!B22)), 0)</f>
        <v>0</v>
      </c>
      <c r="H29" s="6">
        <f>IF(F29&lt;18, Inputs!B14*(1+Inputs!B15)^(INT((B29-Inputs!B3)/Inputs!B22)), 0)</f>
        <v>0</v>
      </c>
      <c r="I29" s="6">
        <f t="shared" si="1"/>
        <v>0</v>
      </c>
      <c r="J29" s="6">
        <f>IF(AND(E29&gt;=18,E29&lt;=21), (Inputs!B16*(1+Inputs!B17)^(18-Inputs!B11))/4, 0)</f>
        <v>0</v>
      </c>
      <c r="K29" s="6">
        <f>IF(AND(F29&gt;=18,F29&lt;=21), (Inputs!B16*(1+Inputs!B17)^(18-Inputs!B12))/4, 0)</f>
        <v>0</v>
      </c>
      <c r="L29" s="6">
        <f t="shared" si="2"/>
        <v>0</v>
      </c>
      <c r="M29" s="6">
        <f>IF(E29=Inputs!B20, Inputs!B18*(1+Inputs!B19)^(Inputs!B20-Inputs!B11), 0)</f>
        <v>0</v>
      </c>
      <c r="N29" s="6">
        <f>IF(F29=Inputs!B21, Inputs!B18*(1+Inputs!B19)^(Inputs!B21-Inputs!B12), 0)</f>
        <v>0</v>
      </c>
      <c r="O29" s="6">
        <f t="shared" si="3"/>
        <v>0</v>
      </c>
      <c r="P29" s="6">
        <f t="shared" si="4"/>
        <v>3728320.578</v>
      </c>
      <c r="Q29" s="6">
        <f>(C29-P29)*IF(B29&lt;Inputs!B5,Inputs!B9,Inputs!B10)</f>
        <v>-2037622.387</v>
      </c>
      <c r="R29" s="6">
        <f t="shared" si="5"/>
        <v>-22413846.26</v>
      </c>
    </row>
    <row r="30" ht="14.25" customHeight="1">
      <c r="A30" s="6">
        <f>Inputs!B23 + ROW()-2</f>
        <v>2054</v>
      </c>
      <c r="B30" s="6">
        <f>Inputs!B3 + ROW()-2</f>
        <v>71</v>
      </c>
      <c r="C30" s="6">
        <f>IF(ROW()=2,Inputs!B6,R29)</f>
        <v>-22413846.26</v>
      </c>
      <c r="D30" s="6">
        <f>IF(B30&lt;Inputs!B5,0, Inputs!B7*(1+Inputs!B8)^(B30-Inputs!B3))</f>
        <v>3989303.018</v>
      </c>
      <c r="E30" s="6">
        <f>Inputs!B11 + (B30-Inputs!B3)</f>
        <v>41</v>
      </c>
      <c r="F30" s="6">
        <f>Inputs!B12 + (B30-Inputs!B3)</f>
        <v>32</v>
      </c>
      <c r="G30" s="6">
        <f>IF(E30&lt;18, Inputs!B13*(1+Inputs!B15)^(INT((B30-Inputs!B3)/Inputs!B22)), 0)</f>
        <v>0</v>
      </c>
      <c r="H30" s="6">
        <f>IF(F30&lt;18, Inputs!B14*(1+Inputs!B15)^(INT((B30-Inputs!B3)/Inputs!B22)), 0)</f>
        <v>0</v>
      </c>
      <c r="I30" s="6">
        <f t="shared" si="1"/>
        <v>0</v>
      </c>
      <c r="J30" s="6">
        <f>IF(AND(E30&gt;=18,E30&lt;=21), (Inputs!B16*(1+Inputs!B17)^(18-Inputs!B11))/4, 0)</f>
        <v>0</v>
      </c>
      <c r="K30" s="6">
        <f>IF(AND(F30&gt;=18,F30&lt;=21), (Inputs!B16*(1+Inputs!B17)^(18-Inputs!B12))/4, 0)</f>
        <v>0</v>
      </c>
      <c r="L30" s="6">
        <f t="shared" si="2"/>
        <v>0</v>
      </c>
      <c r="M30" s="6">
        <f>IF(E30=Inputs!B20, Inputs!B18*(1+Inputs!B19)^(Inputs!B20-Inputs!B11), 0)</f>
        <v>0</v>
      </c>
      <c r="N30" s="6">
        <f>IF(F30=Inputs!B21, Inputs!B18*(1+Inputs!B19)^(Inputs!B21-Inputs!B12), 0)</f>
        <v>0</v>
      </c>
      <c r="O30" s="6">
        <f t="shared" si="3"/>
        <v>0</v>
      </c>
      <c r="P30" s="6">
        <f t="shared" si="4"/>
        <v>3989303.018</v>
      </c>
      <c r="Q30" s="6">
        <f>(C30-P30)*IF(B30&lt;Inputs!B5,Inputs!B9,Inputs!B10)</f>
        <v>-2640314.928</v>
      </c>
      <c r="R30" s="6">
        <f t="shared" si="5"/>
        <v>-29043464.21</v>
      </c>
    </row>
    <row r="31" ht="14.25" customHeight="1">
      <c r="A31" s="6">
        <f>Inputs!B23 + ROW()-2</f>
        <v>2055</v>
      </c>
      <c r="B31" s="6">
        <f>Inputs!B3 + ROW()-2</f>
        <v>72</v>
      </c>
      <c r="C31" s="6">
        <f>IF(ROW()=2,Inputs!B6,R30)</f>
        <v>-29043464.21</v>
      </c>
      <c r="D31" s="6">
        <f>IF(B31&lt;Inputs!B5,0, Inputs!B7*(1+Inputs!B8)^(B31-Inputs!B3))</f>
        <v>4268554.23</v>
      </c>
      <c r="E31" s="6">
        <f>Inputs!B11 + (B31-Inputs!B3)</f>
        <v>42</v>
      </c>
      <c r="F31" s="6">
        <f>Inputs!B12 + (B31-Inputs!B3)</f>
        <v>33</v>
      </c>
      <c r="G31" s="6">
        <f>IF(E31&lt;18, Inputs!B13*(1+Inputs!B15)^(INT((B31-Inputs!B3)/Inputs!B22)), 0)</f>
        <v>0</v>
      </c>
      <c r="H31" s="6">
        <f>IF(F31&lt;18, Inputs!B14*(1+Inputs!B15)^(INT((B31-Inputs!B3)/Inputs!B22)), 0)</f>
        <v>0</v>
      </c>
      <c r="I31" s="6">
        <f t="shared" si="1"/>
        <v>0</v>
      </c>
      <c r="J31" s="6">
        <f>IF(AND(E31&gt;=18,E31&lt;=21), (Inputs!B16*(1+Inputs!B17)^(18-Inputs!B11))/4, 0)</f>
        <v>0</v>
      </c>
      <c r="K31" s="6">
        <f>IF(AND(F31&gt;=18,F31&lt;=21), (Inputs!B16*(1+Inputs!B17)^(18-Inputs!B12))/4, 0)</f>
        <v>0</v>
      </c>
      <c r="L31" s="6">
        <f t="shared" si="2"/>
        <v>0</v>
      </c>
      <c r="M31" s="6">
        <f>IF(E31=Inputs!B20, Inputs!B18*(1+Inputs!B19)^(Inputs!B20-Inputs!B11), 0)</f>
        <v>0</v>
      </c>
      <c r="N31" s="6">
        <f>IF(F31=Inputs!B21, Inputs!B18*(1+Inputs!B19)^(Inputs!B21-Inputs!B12), 0)</f>
        <v>0</v>
      </c>
      <c r="O31" s="6">
        <f t="shared" si="3"/>
        <v>0</v>
      </c>
      <c r="P31" s="6">
        <f t="shared" si="4"/>
        <v>4268554.23</v>
      </c>
      <c r="Q31" s="6">
        <f>(C31-P31)*IF(B31&lt;Inputs!B5,Inputs!B9,Inputs!B10)</f>
        <v>-3331201.843</v>
      </c>
      <c r="R31" s="6">
        <f t="shared" si="5"/>
        <v>-36643220.28</v>
      </c>
    </row>
    <row r="32" ht="14.25" customHeight="1">
      <c r="A32" s="6">
        <f>Inputs!B23 + ROW()-2</f>
        <v>2056</v>
      </c>
      <c r="B32" s="6">
        <f>Inputs!B3 + ROW()-2</f>
        <v>73</v>
      </c>
      <c r="C32" s="6">
        <f>IF(ROW()=2,Inputs!B6,R31)</f>
        <v>-36643220.28</v>
      </c>
      <c r="D32" s="6">
        <f>IF(B32&lt;Inputs!B5,0, Inputs!B7*(1+Inputs!B8)^(B32-Inputs!B3))</f>
        <v>4567353.026</v>
      </c>
      <c r="E32" s="6">
        <f>Inputs!B11 + (B32-Inputs!B3)</f>
        <v>43</v>
      </c>
      <c r="F32" s="6">
        <f>Inputs!B12 + (B32-Inputs!B3)</f>
        <v>34</v>
      </c>
      <c r="G32" s="6">
        <f>IF(E32&lt;18, Inputs!B13*(1+Inputs!B15)^(INT((B32-Inputs!B3)/Inputs!B22)), 0)</f>
        <v>0</v>
      </c>
      <c r="H32" s="6">
        <f>IF(F32&lt;18, Inputs!B14*(1+Inputs!B15)^(INT((B32-Inputs!B3)/Inputs!B22)), 0)</f>
        <v>0</v>
      </c>
      <c r="I32" s="6">
        <f t="shared" si="1"/>
        <v>0</v>
      </c>
      <c r="J32" s="6">
        <f>IF(AND(E32&gt;=18,E32&lt;=21), (Inputs!B16*(1+Inputs!B17)^(18-Inputs!B11))/4, 0)</f>
        <v>0</v>
      </c>
      <c r="K32" s="6">
        <f>IF(AND(F32&gt;=18,F32&lt;=21), (Inputs!B16*(1+Inputs!B17)^(18-Inputs!B12))/4, 0)</f>
        <v>0</v>
      </c>
      <c r="L32" s="6">
        <f t="shared" si="2"/>
        <v>0</v>
      </c>
      <c r="M32" s="6">
        <f>IF(E32=Inputs!B20, Inputs!B18*(1+Inputs!B19)^(Inputs!B20-Inputs!B11), 0)</f>
        <v>0</v>
      </c>
      <c r="N32" s="6">
        <f>IF(F32=Inputs!B21, Inputs!B18*(1+Inputs!B19)^(Inputs!B21-Inputs!B12), 0)</f>
        <v>0</v>
      </c>
      <c r="O32" s="6">
        <f t="shared" si="3"/>
        <v>0</v>
      </c>
      <c r="P32" s="6">
        <f t="shared" si="4"/>
        <v>4567353.026</v>
      </c>
      <c r="Q32" s="6">
        <f>(C32-P32)*IF(B32&lt;Inputs!B5,Inputs!B9,Inputs!B10)</f>
        <v>-4121057.33</v>
      </c>
      <c r="R32" s="6">
        <f t="shared" si="5"/>
        <v>-45331630.63</v>
      </c>
    </row>
    <row r="33" ht="14.25" customHeight="1">
      <c r="A33" s="6">
        <f>Inputs!B23 + ROW()-2</f>
        <v>2057</v>
      </c>
      <c r="B33" s="6">
        <f>Inputs!B3 + ROW()-2</f>
        <v>74</v>
      </c>
      <c r="C33" s="6">
        <f>IF(ROW()=2,Inputs!B6,R32)</f>
        <v>-45331630.63</v>
      </c>
      <c r="D33" s="6">
        <f>IF(B33&lt;Inputs!B5,0, Inputs!B7*(1+Inputs!B8)^(B33-Inputs!B3))</f>
        <v>4887067.737</v>
      </c>
      <c r="E33" s="6">
        <f>Inputs!B11 + (B33-Inputs!B3)</f>
        <v>44</v>
      </c>
      <c r="F33" s="6">
        <f>Inputs!B12 + (B33-Inputs!B3)</f>
        <v>35</v>
      </c>
      <c r="G33" s="6">
        <f>IF(E33&lt;18, Inputs!B13*(1+Inputs!B15)^(INT((B33-Inputs!B3)/Inputs!B22)), 0)</f>
        <v>0</v>
      </c>
      <c r="H33" s="6">
        <f>IF(F33&lt;18, Inputs!B14*(1+Inputs!B15)^(INT((B33-Inputs!B3)/Inputs!B22)), 0)</f>
        <v>0</v>
      </c>
      <c r="I33" s="6">
        <f t="shared" si="1"/>
        <v>0</v>
      </c>
      <c r="J33" s="6">
        <f>IF(AND(E33&gt;=18,E33&lt;=21), (Inputs!B16*(1+Inputs!B17)^(18-Inputs!B11))/4, 0)</f>
        <v>0</v>
      </c>
      <c r="K33" s="6">
        <f>IF(AND(F33&gt;=18,F33&lt;=21), (Inputs!B16*(1+Inputs!B17)^(18-Inputs!B12))/4, 0)</f>
        <v>0</v>
      </c>
      <c r="L33" s="6">
        <f t="shared" si="2"/>
        <v>0</v>
      </c>
      <c r="M33" s="6">
        <f>IF(E33=Inputs!B20, Inputs!B18*(1+Inputs!B19)^(Inputs!B20-Inputs!B11), 0)</f>
        <v>0</v>
      </c>
      <c r="N33" s="6">
        <f>IF(F33=Inputs!B21, Inputs!B18*(1+Inputs!B19)^(Inputs!B21-Inputs!B12), 0)</f>
        <v>0</v>
      </c>
      <c r="O33" s="6">
        <f t="shared" si="3"/>
        <v>0</v>
      </c>
      <c r="P33" s="6">
        <f t="shared" si="4"/>
        <v>4887067.737</v>
      </c>
      <c r="Q33" s="6">
        <f>(C33-P33)*IF(B33&lt;Inputs!B5,Inputs!B9,Inputs!B10)</f>
        <v>-5021869.837</v>
      </c>
      <c r="R33" s="6">
        <f t="shared" si="5"/>
        <v>-55240568.21</v>
      </c>
    </row>
    <row r="34" ht="14.25" customHeight="1">
      <c r="A34" s="6">
        <f>Inputs!B23 + ROW()-2</f>
        <v>2058</v>
      </c>
      <c r="B34" s="6">
        <f>Inputs!B3 + ROW()-2</f>
        <v>75</v>
      </c>
      <c r="C34" s="6">
        <f>IF(ROW()=2,Inputs!B6,R33)</f>
        <v>-55240568.21</v>
      </c>
      <c r="D34" s="6">
        <f>IF(B34&lt;Inputs!B5,0, Inputs!B7*(1+Inputs!B8)^(B34-Inputs!B3))</f>
        <v>5229162.479</v>
      </c>
      <c r="E34" s="6">
        <f>Inputs!B11 + (B34-Inputs!B3)</f>
        <v>45</v>
      </c>
      <c r="F34" s="6">
        <f>Inputs!B12 + (B34-Inputs!B3)</f>
        <v>36</v>
      </c>
      <c r="G34" s="6">
        <f>IF(E34&lt;18, Inputs!B13*(1+Inputs!B15)^(INT((B34-Inputs!B3)/Inputs!B22)), 0)</f>
        <v>0</v>
      </c>
      <c r="H34" s="6">
        <f>IF(F34&lt;18, Inputs!B14*(1+Inputs!B15)^(INT((B34-Inputs!B3)/Inputs!B22)), 0)</f>
        <v>0</v>
      </c>
      <c r="I34" s="6">
        <f t="shared" si="1"/>
        <v>0</v>
      </c>
      <c r="J34" s="6">
        <f>IF(AND(E34&gt;=18,E34&lt;=21), (Inputs!B16*(1+Inputs!B17)^(18-Inputs!B11))/4, 0)</f>
        <v>0</v>
      </c>
      <c r="K34" s="6">
        <f>IF(AND(F34&gt;=18,F34&lt;=21), (Inputs!B16*(1+Inputs!B17)^(18-Inputs!B12))/4, 0)</f>
        <v>0</v>
      </c>
      <c r="L34" s="6">
        <f t="shared" si="2"/>
        <v>0</v>
      </c>
      <c r="M34" s="6">
        <f>IF(E34=Inputs!B20, Inputs!B18*(1+Inputs!B19)^(Inputs!B20-Inputs!B11), 0)</f>
        <v>0</v>
      </c>
      <c r="N34" s="6">
        <f>IF(F34=Inputs!B21, Inputs!B18*(1+Inputs!B19)^(Inputs!B21-Inputs!B12), 0)</f>
        <v>0</v>
      </c>
      <c r="O34" s="6">
        <f t="shared" si="3"/>
        <v>0</v>
      </c>
      <c r="P34" s="6">
        <f t="shared" si="4"/>
        <v>5229162.479</v>
      </c>
      <c r="Q34" s="6">
        <f>(C34-P34)*IF(B34&lt;Inputs!B5,Inputs!B9,Inputs!B10)</f>
        <v>-6046973.069</v>
      </c>
      <c r="R34" s="6">
        <f t="shared" si="5"/>
        <v>-66516703.76</v>
      </c>
    </row>
    <row r="35" ht="14.25" customHeight="1">
      <c r="A35" s="6">
        <f>Inputs!B23 + ROW()-2</f>
        <v>2059</v>
      </c>
      <c r="B35" s="6">
        <f>Inputs!B3 + ROW()-2</f>
        <v>76</v>
      </c>
      <c r="C35" s="6">
        <f>IF(ROW()=2,Inputs!B6,R34)</f>
        <v>-66516703.76</v>
      </c>
      <c r="D35" s="6">
        <f>IF(B35&lt;Inputs!B5,0, Inputs!B7*(1+Inputs!B8)^(B35-Inputs!B3))</f>
        <v>5595203.853</v>
      </c>
      <c r="E35" s="6">
        <f>Inputs!B11 + (B35-Inputs!B3)</f>
        <v>46</v>
      </c>
      <c r="F35" s="6">
        <f>Inputs!B12 + (B35-Inputs!B3)</f>
        <v>37</v>
      </c>
      <c r="G35" s="6">
        <f>IF(E35&lt;18, Inputs!B13*(1+Inputs!B15)^(INT((B35-Inputs!B3)/Inputs!B22)), 0)</f>
        <v>0</v>
      </c>
      <c r="H35" s="6">
        <f>IF(F35&lt;18, Inputs!B14*(1+Inputs!B15)^(INT((B35-Inputs!B3)/Inputs!B22)), 0)</f>
        <v>0</v>
      </c>
      <c r="I35" s="6">
        <f t="shared" si="1"/>
        <v>0</v>
      </c>
      <c r="J35" s="6">
        <f>IF(AND(E35&gt;=18,E35&lt;=21), (Inputs!B16*(1+Inputs!B17)^(18-Inputs!B11))/4, 0)</f>
        <v>0</v>
      </c>
      <c r="K35" s="6">
        <f>IF(AND(F35&gt;=18,F35&lt;=21), (Inputs!B16*(1+Inputs!B17)^(18-Inputs!B12))/4, 0)</f>
        <v>0</v>
      </c>
      <c r="L35" s="6">
        <f t="shared" si="2"/>
        <v>0</v>
      </c>
      <c r="M35" s="6">
        <f>IF(E35=Inputs!B20, Inputs!B18*(1+Inputs!B19)^(Inputs!B20-Inputs!B11), 0)</f>
        <v>0</v>
      </c>
      <c r="N35" s="6">
        <f>IF(F35=Inputs!B21, Inputs!B18*(1+Inputs!B19)^(Inputs!B21-Inputs!B12), 0)</f>
        <v>0</v>
      </c>
      <c r="O35" s="6">
        <f t="shared" si="3"/>
        <v>0</v>
      </c>
      <c r="P35" s="6">
        <f t="shared" si="4"/>
        <v>5595203.853</v>
      </c>
      <c r="Q35" s="6">
        <f>(C35-P35)*IF(B35&lt;Inputs!B5,Inputs!B9,Inputs!B10)</f>
        <v>-7211190.761</v>
      </c>
      <c r="R35" s="6">
        <f t="shared" si="5"/>
        <v>-79323098.37</v>
      </c>
    </row>
    <row r="36" ht="14.25" customHeight="1">
      <c r="A36" s="6">
        <f>Inputs!B23 + ROW()-2</f>
        <v>2060</v>
      </c>
      <c r="B36" s="6">
        <f>Inputs!B3 + ROW()-2</f>
        <v>77</v>
      </c>
      <c r="C36" s="6">
        <f>IF(ROW()=2,Inputs!B6,R35)</f>
        <v>-79323098.37</v>
      </c>
      <c r="D36" s="6">
        <f>IF(B36&lt;Inputs!B5,0, Inputs!B7*(1+Inputs!B8)^(B36-Inputs!B3))</f>
        <v>5986868.122</v>
      </c>
      <c r="E36" s="6">
        <f>Inputs!B11 + (B36-Inputs!B3)</f>
        <v>47</v>
      </c>
      <c r="F36" s="6">
        <f>Inputs!B12 + (B36-Inputs!B3)</f>
        <v>38</v>
      </c>
      <c r="G36" s="6">
        <f>IF(E36&lt;18, Inputs!B13*(1+Inputs!B15)^(INT((B36-Inputs!B3)/Inputs!B22)), 0)</f>
        <v>0</v>
      </c>
      <c r="H36" s="6">
        <f>IF(F36&lt;18, Inputs!B14*(1+Inputs!B15)^(INT((B36-Inputs!B3)/Inputs!B22)), 0)</f>
        <v>0</v>
      </c>
      <c r="I36" s="6">
        <f t="shared" si="1"/>
        <v>0</v>
      </c>
      <c r="J36" s="6">
        <f>IF(AND(E36&gt;=18,E36&lt;=21), (Inputs!B16*(1+Inputs!B17)^(18-Inputs!B11))/4, 0)</f>
        <v>0</v>
      </c>
      <c r="K36" s="6">
        <f>IF(AND(F36&gt;=18,F36&lt;=21), (Inputs!B16*(1+Inputs!B17)^(18-Inputs!B12))/4, 0)</f>
        <v>0</v>
      </c>
      <c r="L36" s="6">
        <f t="shared" si="2"/>
        <v>0</v>
      </c>
      <c r="M36" s="6">
        <f>IF(E36=Inputs!B20, Inputs!B18*(1+Inputs!B19)^(Inputs!B20-Inputs!B11), 0)</f>
        <v>0</v>
      </c>
      <c r="N36" s="6">
        <f>IF(F36=Inputs!B21, Inputs!B18*(1+Inputs!B19)^(Inputs!B21-Inputs!B12), 0)</f>
        <v>0</v>
      </c>
      <c r="O36" s="6">
        <f t="shared" si="3"/>
        <v>0</v>
      </c>
      <c r="P36" s="6">
        <f t="shared" si="4"/>
        <v>5986868.122</v>
      </c>
      <c r="Q36" s="6">
        <f>(C36-P36)*IF(B36&lt;Inputs!B5,Inputs!B9,Inputs!B10)</f>
        <v>-8530996.649</v>
      </c>
      <c r="R36" s="6">
        <f t="shared" si="5"/>
        <v>-93840963.14</v>
      </c>
    </row>
    <row r="37" ht="14.25" customHeight="1">
      <c r="A37" s="6">
        <f>Inputs!B23 + ROW()-2</f>
        <v>2061</v>
      </c>
      <c r="B37" s="6">
        <f>Inputs!B3 + ROW()-2</f>
        <v>78</v>
      </c>
      <c r="C37" s="6">
        <f>IF(ROW()=2,Inputs!B6,R36)</f>
        <v>-93840963.14</v>
      </c>
      <c r="D37" s="6">
        <f>IF(B37&lt;Inputs!B5,0, Inputs!B7*(1+Inputs!B8)^(B37-Inputs!B3))</f>
        <v>6405948.891</v>
      </c>
      <c r="E37" s="6">
        <f>Inputs!B11 + (B37-Inputs!B3)</f>
        <v>48</v>
      </c>
      <c r="F37" s="6">
        <f>Inputs!B12 + (B37-Inputs!B3)</f>
        <v>39</v>
      </c>
      <c r="G37" s="6">
        <f>IF(E37&lt;18, Inputs!B13*(1+Inputs!B15)^(INT((B37-Inputs!B3)/Inputs!B22)), 0)</f>
        <v>0</v>
      </c>
      <c r="H37" s="6">
        <f>IF(F37&lt;18, Inputs!B14*(1+Inputs!B15)^(INT((B37-Inputs!B3)/Inputs!B22)), 0)</f>
        <v>0</v>
      </c>
      <c r="I37" s="6">
        <f t="shared" si="1"/>
        <v>0</v>
      </c>
      <c r="J37" s="6">
        <f>IF(AND(E37&gt;=18,E37&lt;=21), (Inputs!B16*(1+Inputs!B17)^(18-Inputs!B11))/4, 0)</f>
        <v>0</v>
      </c>
      <c r="K37" s="6">
        <f>IF(AND(F37&gt;=18,F37&lt;=21), (Inputs!B16*(1+Inputs!B17)^(18-Inputs!B12))/4, 0)</f>
        <v>0</v>
      </c>
      <c r="L37" s="6">
        <f t="shared" si="2"/>
        <v>0</v>
      </c>
      <c r="M37" s="6">
        <f>IF(E37=Inputs!B20, Inputs!B18*(1+Inputs!B19)^(Inputs!B20-Inputs!B11), 0)</f>
        <v>0</v>
      </c>
      <c r="N37" s="6">
        <f>IF(F37=Inputs!B21, Inputs!B18*(1+Inputs!B19)^(Inputs!B21-Inputs!B12), 0)</f>
        <v>0</v>
      </c>
      <c r="O37" s="6">
        <f t="shared" si="3"/>
        <v>0</v>
      </c>
      <c r="P37" s="6">
        <f t="shared" si="4"/>
        <v>6405948.891</v>
      </c>
      <c r="Q37" s="6">
        <f>(C37-P37)*IF(B37&lt;Inputs!B5,Inputs!B9,Inputs!B10)</f>
        <v>-10024691.2</v>
      </c>
      <c r="R37" s="6">
        <f t="shared" si="5"/>
        <v>-110271603.2</v>
      </c>
    </row>
    <row r="38" ht="14.25" customHeight="1">
      <c r="A38" s="6">
        <f>Inputs!B23 + ROW()-2</f>
        <v>2062</v>
      </c>
      <c r="B38" s="6">
        <f>Inputs!B3 + ROW()-2</f>
        <v>79</v>
      </c>
      <c r="C38" s="6">
        <f>IF(ROW()=2,Inputs!B6,R37)</f>
        <v>-110271603.2</v>
      </c>
      <c r="D38" s="6">
        <f>IF(B38&lt;Inputs!B5,0, Inputs!B7*(1+Inputs!B8)^(B38-Inputs!B3))</f>
        <v>6854365.313</v>
      </c>
      <c r="E38" s="6">
        <f>Inputs!B11 + (B38-Inputs!B3)</f>
        <v>49</v>
      </c>
      <c r="F38" s="6">
        <f>Inputs!B12 + (B38-Inputs!B3)</f>
        <v>40</v>
      </c>
      <c r="G38" s="6">
        <f>IF(E38&lt;18, Inputs!B13*(1+Inputs!B15)^(INT((B38-Inputs!B3)/Inputs!B22)), 0)</f>
        <v>0</v>
      </c>
      <c r="H38" s="6">
        <f>IF(F38&lt;18, Inputs!B14*(1+Inputs!B15)^(INT((B38-Inputs!B3)/Inputs!B22)), 0)</f>
        <v>0</v>
      </c>
      <c r="I38" s="6">
        <f t="shared" si="1"/>
        <v>0</v>
      </c>
      <c r="J38" s="6">
        <f>IF(AND(E38&gt;=18,E38&lt;=21), (Inputs!B16*(1+Inputs!B17)^(18-Inputs!B11))/4, 0)</f>
        <v>0</v>
      </c>
      <c r="K38" s="6">
        <f>IF(AND(F38&gt;=18,F38&lt;=21), (Inputs!B16*(1+Inputs!B17)^(18-Inputs!B12))/4, 0)</f>
        <v>0</v>
      </c>
      <c r="L38" s="6">
        <f t="shared" si="2"/>
        <v>0</v>
      </c>
      <c r="M38" s="6">
        <f>IF(E38=Inputs!B20, Inputs!B18*(1+Inputs!B19)^(Inputs!B20-Inputs!B11), 0)</f>
        <v>0</v>
      </c>
      <c r="N38" s="6">
        <f>IF(F38=Inputs!B21, Inputs!B18*(1+Inputs!B19)^(Inputs!B21-Inputs!B12), 0)</f>
        <v>0</v>
      </c>
      <c r="O38" s="6">
        <f t="shared" si="3"/>
        <v>0</v>
      </c>
      <c r="P38" s="6">
        <f t="shared" si="4"/>
        <v>6854365.313</v>
      </c>
      <c r="Q38" s="6">
        <f>(C38-P38)*IF(B38&lt;Inputs!B5,Inputs!B9,Inputs!B10)</f>
        <v>-11712596.85</v>
      </c>
      <c r="R38" s="6">
        <f t="shared" si="5"/>
        <v>-128838565.4</v>
      </c>
    </row>
    <row r="39" ht="14.25" customHeight="1">
      <c r="A39" s="6">
        <f>Inputs!B23 + ROW()-2</f>
        <v>2063</v>
      </c>
      <c r="B39" s="6">
        <f>Inputs!B3 + ROW()-2</f>
        <v>80</v>
      </c>
      <c r="C39" s="6">
        <f>IF(ROW()=2,Inputs!B6,R38)</f>
        <v>-128838565.4</v>
      </c>
      <c r="D39" s="6">
        <f>IF(B39&lt;Inputs!B5,0, Inputs!B7*(1+Inputs!B8)^(B39-Inputs!B3))</f>
        <v>7334170.885</v>
      </c>
      <c r="E39" s="6">
        <f>Inputs!B11 + (B39-Inputs!B3)</f>
        <v>50</v>
      </c>
      <c r="F39" s="6">
        <f>Inputs!B12 + (B39-Inputs!B3)</f>
        <v>41</v>
      </c>
      <c r="G39" s="6">
        <f>IF(E39&lt;18, Inputs!B13*(1+Inputs!B15)^(INT((B39-Inputs!B3)/Inputs!B22)), 0)</f>
        <v>0</v>
      </c>
      <c r="H39" s="6">
        <f>IF(F39&lt;18, Inputs!B14*(1+Inputs!B15)^(INT((B39-Inputs!B3)/Inputs!B22)), 0)</f>
        <v>0</v>
      </c>
      <c r="I39" s="6">
        <f t="shared" si="1"/>
        <v>0</v>
      </c>
      <c r="J39" s="6">
        <f>IF(AND(E39&gt;=18,E39&lt;=21), (Inputs!B16*(1+Inputs!B17)^(18-Inputs!B11))/4, 0)</f>
        <v>0</v>
      </c>
      <c r="K39" s="6">
        <f>IF(AND(F39&gt;=18,F39&lt;=21), (Inputs!B16*(1+Inputs!B17)^(18-Inputs!B12))/4, 0)</f>
        <v>0</v>
      </c>
      <c r="L39" s="6">
        <f t="shared" si="2"/>
        <v>0</v>
      </c>
      <c r="M39" s="6">
        <f>IF(E39=Inputs!B20, Inputs!B18*(1+Inputs!B19)^(Inputs!B20-Inputs!B11), 0)</f>
        <v>0</v>
      </c>
      <c r="N39" s="6">
        <f>IF(F39=Inputs!B21, Inputs!B18*(1+Inputs!B19)^(Inputs!B21-Inputs!B12), 0)</f>
        <v>0</v>
      </c>
      <c r="O39" s="6">
        <f t="shared" si="3"/>
        <v>0</v>
      </c>
      <c r="P39" s="6">
        <f t="shared" si="4"/>
        <v>7334170.885</v>
      </c>
      <c r="Q39" s="6">
        <f>(C39-P39)*IF(B39&lt;Inputs!B5,Inputs!B9,Inputs!B10)</f>
        <v>-13617273.63</v>
      </c>
      <c r="R39" s="6">
        <f t="shared" si="5"/>
        <v>-149790009.9</v>
      </c>
    </row>
    <row r="40" ht="14.25" customHeight="1">
      <c r="A40" s="6">
        <f>Inputs!B23 + ROW()-2</f>
        <v>2064</v>
      </c>
      <c r="B40" s="6">
        <f>Inputs!B3 + ROW()-2</f>
        <v>81</v>
      </c>
      <c r="C40" s="6">
        <f>IF(ROW()=2,Inputs!B6,R39)</f>
        <v>-149790009.9</v>
      </c>
      <c r="D40" s="6">
        <f>IF(B40&lt;Inputs!B5,0, Inputs!B7*(1+Inputs!B8)^(B40-Inputs!B3))</f>
        <v>7847562.847</v>
      </c>
      <c r="E40" s="6">
        <f>Inputs!B11 + (B40-Inputs!B3)</f>
        <v>51</v>
      </c>
      <c r="F40" s="6">
        <f>Inputs!B12 + (B40-Inputs!B3)</f>
        <v>42</v>
      </c>
      <c r="G40" s="6">
        <f>IF(E40&lt;18, Inputs!B13*(1+Inputs!B15)^(INT((B40-Inputs!B3)/Inputs!B22)), 0)</f>
        <v>0</v>
      </c>
      <c r="H40" s="6">
        <f>IF(F40&lt;18, Inputs!B14*(1+Inputs!B15)^(INT((B40-Inputs!B3)/Inputs!B22)), 0)</f>
        <v>0</v>
      </c>
      <c r="I40" s="6">
        <f t="shared" si="1"/>
        <v>0</v>
      </c>
      <c r="J40" s="6">
        <f>IF(AND(E40&gt;=18,E40&lt;=21), (Inputs!B16*(1+Inputs!B17)^(18-Inputs!B11))/4, 0)</f>
        <v>0</v>
      </c>
      <c r="K40" s="6">
        <f>IF(AND(F40&gt;=18,F40&lt;=21), (Inputs!B16*(1+Inputs!B17)^(18-Inputs!B12))/4, 0)</f>
        <v>0</v>
      </c>
      <c r="L40" s="6">
        <f t="shared" si="2"/>
        <v>0</v>
      </c>
      <c r="M40" s="6">
        <f>IF(E40=Inputs!B20, Inputs!B18*(1+Inputs!B19)^(Inputs!B20-Inputs!B11), 0)</f>
        <v>0</v>
      </c>
      <c r="N40" s="6">
        <f>IF(F40=Inputs!B21, Inputs!B18*(1+Inputs!B19)^(Inputs!B21-Inputs!B12), 0)</f>
        <v>0</v>
      </c>
      <c r="O40" s="6">
        <f t="shared" si="3"/>
        <v>0</v>
      </c>
      <c r="P40" s="6">
        <f t="shared" si="4"/>
        <v>7847562.847</v>
      </c>
      <c r="Q40" s="6">
        <f>(C40-P40)*IF(B40&lt;Inputs!B5,Inputs!B9,Inputs!B10)</f>
        <v>-15763757.28</v>
      </c>
      <c r="R40" s="6">
        <f t="shared" si="5"/>
        <v>-173401330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2025-08-23T16:26:36Z</dcterms:created>
  <dc:creator>openpyxl</dc:creator>
</cp:coreProperties>
</file>